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hadke/Downloads/"/>
    </mc:Choice>
  </mc:AlternateContent>
  <xr:revisionPtr revIDLastSave="0" documentId="13_ncr:1_{CBCC0181-B646-404E-9188-283B3F26F63B}" xr6:coauthVersionLast="47" xr6:coauthVersionMax="47" xr10:uidLastSave="{00000000-0000-0000-0000-000000000000}"/>
  <bookViews>
    <workbookView xWindow="0" yWindow="660" windowWidth="30240" windowHeight="18980" activeTab="1" xr2:uid="{00000000-000D-0000-FFFF-FFFF00000000}"/>
  </bookViews>
  <sheets>
    <sheet name="Tasks" sheetId="1" r:id="rId1"/>
    <sheet name="Sales Data" sheetId="2" r:id="rId2"/>
    <sheet name="People" sheetId="3" r:id="rId3"/>
    <sheet name="Q1 - Sales by Geo" sheetId="4" r:id="rId4"/>
    <sheet name="Q2 - CIAM by Segment" sheetId="5" r:id="rId5"/>
    <sheet name="Q3 - Sept AMER Ent Upsell" sheetId="6" r:id="rId6"/>
    <sheet name="Q4 - Top Performing Sales Reps" sheetId="7" r:id="rId7"/>
    <sheet name="Q5 - Executive " sheetId="8" r:id="rId8"/>
  </sheets>
  <definedNames>
    <definedName name="_xlnm._FilterDatabase" localSheetId="1" hidden="1">'Sales Data'!$A$1:$I$436</definedName>
  </definedNames>
  <calcPr calcId="191029"/>
  <pivotCaches>
    <pivotCache cacheId="19"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7" i="7" l="1"/>
  <c r="B67" i="7"/>
  <c r="A67" i="7"/>
  <c r="D67" i="7" s="1"/>
  <c r="C66" i="7"/>
  <c r="B66" i="7"/>
  <c r="A66" i="7"/>
  <c r="D66" i="7" s="1"/>
  <c r="C65" i="7"/>
  <c r="B65" i="7"/>
  <c r="A65" i="7"/>
  <c r="D65" i="7" s="1"/>
  <c r="C64" i="7"/>
  <c r="B64" i="7"/>
  <c r="A64" i="7"/>
  <c r="D64" i="7" s="1"/>
  <c r="C63" i="7"/>
  <c r="B63" i="7"/>
  <c r="A63" i="7"/>
  <c r="D63" i="7" s="1"/>
  <c r="C62" i="7"/>
  <c r="B62" i="7"/>
  <c r="A62" i="7"/>
  <c r="D62" i="7" s="1"/>
  <c r="C61" i="7"/>
  <c r="B61" i="7"/>
  <c r="A61" i="7"/>
  <c r="D61" i="7" s="1"/>
  <c r="C60" i="7"/>
  <c r="B60" i="7"/>
  <c r="A60" i="7"/>
  <c r="D60" i="7" s="1"/>
  <c r="C59" i="7"/>
  <c r="B59" i="7"/>
  <c r="A59" i="7"/>
  <c r="D59" i="7" s="1"/>
  <c r="C58" i="7"/>
  <c r="B58" i="7"/>
  <c r="A58" i="7"/>
  <c r="D58" i="7" s="1"/>
  <c r="C57" i="7"/>
  <c r="B57" i="7"/>
  <c r="A57" i="7"/>
  <c r="D57" i="7" s="1"/>
  <c r="C56" i="7"/>
  <c r="B56" i="7"/>
  <c r="A56" i="7"/>
  <c r="D56" i="7" s="1"/>
  <c r="C55" i="7"/>
  <c r="B55" i="7"/>
  <c r="A55" i="7"/>
  <c r="D55" i="7" s="1"/>
  <c r="C54" i="7"/>
  <c r="B54" i="7"/>
  <c r="A54" i="7"/>
  <c r="D54" i="7" s="1"/>
  <c r="C53" i="7"/>
  <c r="B53" i="7"/>
  <c r="A53" i="7"/>
  <c r="D53" i="7" s="1"/>
  <c r="C52" i="7"/>
  <c r="B52" i="7"/>
  <c r="A52" i="7"/>
  <c r="D52" i="7" s="1"/>
  <c r="C51" i="7"/>
  <c r="B51" i="7"/>
  <c r="A51" i="7"/>
  <c r="D51" i="7" s="1"/>
  <c r="C50" i="7"/>
  <c r="B50" i="7"/>
  <c r="A50" i="7"/>
  <c r="D50" i="7" s="1"/>
  <c r="C49" i="7"/>
  <c r="B49" i="7"/>
  <c r="A49" i="7"/>
  <c r="D49" i="7" s="1"/>
  <c r="C48" i="7"/>
  <c r="B48" i="7"/>
  <c r="A48" i="7"/>
  <c r="D48" i="7" s="1"/>
  <c r="C47" i="7"/>
  <c r="B47" i="7"/>
  <c r="A47" i="7"/>
  <c r="D47" i="7" s="1"/>
  <c r="C46" i="7"/>
  <c r="B46" i="7"/>
  <c r="A46" i="7"/>
  <c r="D46" i="7" s="1"/>
  <c r="C45" i="7"/>
  <c r="B45" i="7"/>
  <c r="A45" i="7"/>
  <c r="D45" i="7" s="1"/>
  <c r="C44" i="7"/>
  <c r="B44" i="7"/>
  <c r="A44" i="7"/>
  <c r="D44" i="7" s="1"/>
  <c r="C43" i="7"/>
  <c r="B43" i="7"/>
  <c r="A43" i="7"/>
  <c r="D43" i="7" s="1"/>
  <c r="C42" i="7"/>
  <c r="B42" i="7"/>
  <c r="A42" i="7"/>
  <c r="D42" i="7" s="1"/>
  <c r="C41" i="7"/>
  <c r="B41" i="7"/>
  <c r="A41" i="7"/>
  <c r="D41" i="7" s="1"/>
  <c r="C40" i="7"/>
  <c r="B40" i="7"/>
  <c r="A40" i="7"/>
  <c r="D40" i="7" s="1"/>
  <c r="C39" i="7"/>
  <c r="B39" i="7"/>
  <c r="A39" i="7"/>
  <c r="D39" i="7" s="1"/>
  <c r="C38" i="7"/>
  <c r="B38" i="7"/>
  <c r="A38" i="7"/>
  <c r="D38" i="7" s="1"/>
  <c r="C37" i="7"/>
  <c r="B37" i="7"/>
  <c r="A37" i="7"/>
  <c r="D37" i="7" s="1"/>
  <c r="C36" i="7"/>
  <c r="B36" i="7"/>
  <c r="A36" i="7"/>
  <c r="D36" i="7" s="1"/>
  <c r="C35" i="7"/>
  <c r="B35" i="7"/>
  <c r="A35" i="7"/>
  <c r="D35" i="7" s="1"/>
  <c r="C34" i="7"/>
  <c r="B34" i="7"/>
  <c r="A34" i="7"/>
  <c r="D34" i="7" s="1"/>
  <c r="C33" i="7"/>
  <c r="B33" i="7"/>
  <c r="A33" i="7"/>
  <c r="D33" i="7" s="1"/>
  <c r="C32" i="7"/>
  <c r="B32" i="7"/>
  <c r="A32" i="7"/>
  <c r="D32" i="7" s="1"/>
  <c r="C31" i="7"/>
  <c r="B31" i="7"/>
  <c r="A31" i="7"/>
  <c r="D31" i="7" s="1"/>
  <c r="C30" i="7"/>
  <c r="B30" i="7"/>
  <c r="A30" i="7"/>
  <c r="D30" i="7" s="1"/>
  <c r="C29" i="7"/>
  <c r="B29" i="7"/>
  <c r="A29" i="7"/>
  <c r="D29" i="7" s="1"/>
  <c r="C28" i="7"/>
  <c r="B28" i="7"/>
  <c r="A28" i="7"/>
  <c r="D28" i="7" s="1"/>
  <c r="C27" i="7"/>
  <c r="B27" i="7"/>
  <c r="A27" i="7"/>
  <c r="D27" i="7" s="1"/>
  <c r="C26" i="7"/>
  <c r="B26" i="7"/>
  <c r="A26" i="7"/>
  <c r="D26" i="7" s="1"/>
  <c r="C25" i="7"/>
  <c r="B25" i="7"/>
  <c r="A25" i="7"/>
  <c r="D25" i="7" s="1"/>
  <c r="C24" i="7"/>
  <c r="B24" i="7"/>
  <c r="A24" i="7"/>
  <c r="D24" i="7" s="1"/>
  <c r="C23" i="7"/>
  <c r="B23" i="7"/>
  <c r="A23" i="7"/>
  <c r="D23" i="7" s="1"/>
  <c r="C22" i="7"/>
  <c r="B22" i="7"/>
  <c r="A22" i="7"/>
  <c r="D22" i="7" s="1"/>
  <c r="C21" i="7"/>
  <c r="B21" i="7"/>
  <c r="A21" i="7"/>
  <c r="D21" i="7" s="1"/>
  <c r="C20" i="7"/>
  <c r="B20" i="7"/>
  <c r="A20" i="7"/>
  <c r="D20" i="7" s="1"/>
  <c r="C19" i="7"/>
  <c r="B19" i="7"/>
  <c r="A19" i="7"/>
  <c r="D19" i="7" s="1"/>
  <c r="C18" i="7"/>
  <c r="B18" i="7"/>
  <c r="A18" i="7"/>
  <c r="D18" i="7" s="1"/>
  <c r="C17" i="7"/>
  <c r="B17" i="7"/>
  <c r="A17" i="7"/>
  <c r="D17" i="7" s="1"/>
  <c r="C16" i="7"/>
  <c r="B16" i="7"/>
  <c r="A16" i="7"/>
  <c r="D16" i="7" s="1"/>
  <c r="C15" i="7"/>
  <c r="B15" i="7"/>
  <c r="A15" i="7"/>
  <c r="D15" i="7" s="1"/>
  <c r="C14" i="7"/>
  <c r="B14" i="7"/>
  <c r="A14" i="7"/>
  <c r="D14" i="7" s="1"/>
  <c r="C13" i="7"/>
  <c r="B13" i="7"/>
  <c r="A13" i="7"/>
  <c r="D13" i="7" s="1"/>
  <c r="C12" i="7"/>
  <c r="B12" i="7"/>
  <c r="A12" i="7"/>
  <c r="D12" i="7" s="1"/>
  <c r="C11" i="7"/>
  <c r="B11" i="7"/>
  <c r="A11" i="7"/>
  <c r="D11" i="7" s="1"/>
  <c r="C10" i="7"/>
  <c r="B10" i="7"/>
  <c r="A10" i="7"/>
  <c r="D10" i="7" s="1"/>
  <c r="C9" i="7"/>
  <c r="B9" i="7"/>
  <c r="A9" i="7"/>
  <c r="D9" i="7" s="1"/>
  <c r="C8" i="7"/>
  <c r="B8" i="7"/>
  <c r="A8" i="7"/>
  <c r="D8" i="7" s="1"/>
  <c r="C7" i="7"/>
  <c r="B7" i="7"/>
  <c r="A7" i="7"/>
  <c r="D7" i="7" s="1"/>
  <c r="D13" i="5"/>
  <c r="C13" i="5"/>
  <c r="B13" i="5"/>
  <c r="D12" i="5"/>
  <c r="D14" i="5" s="1"/>
  <c r="C12" i="5"/>
  <c r="B12" i="5"/>
  <c r="C15" i="4"/>
  <c r="B15" i="4"/>
  <c r="C14" i="4"/>
  <c r="B14" i="4"/>
  <c r="E14" i="4" s="1"/>
  <c r="D13" i="4"/>
  <c r="C13" i="4"/>
  <c r="B13" i="4"/>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E12" i="5" l="1"/>
  <c r="C14" i="5"/>
  <c r="E13" i="4"/>
  <c r="E13" i="5"/>
  <c r="C16" i="4"/>
  <c r="E15" i="4"/>
  <c r="B16" i="4"/>
  <c r="E16" i="4" s="1"/>
  <c r="B14" i="5"/>
  <c r="E14" i="5" s="1"/>
  <c r="D14" i="4"/>
  <c r="D16" i="4" s="1"/>
  <c r="D15" i="4"/>
</calcChain>
</file>

<file path=xl/sharedStrings.xml><?xml version="1.0" encoding="utf-8"?>
<sst xmlns="http://schemas.openxmlformats.org/spreadsheetml/2006/main" count="3164" uniqueCount="299">
  <si>
    <t>@dropdown</t>
  </si>
  <si>
    <t>Q1: Which geo has the highest sales?</t>
  </si>
  <si>
    <t>Opp Owner User ID</t>
  </si>
  <si>
    <t>Opportunity ID</t>
  </si>
  <si>
    <t>Name</t>
  </si>
  <si>
    <t>0054z00000AAVA1E0V</t>
  </si>
  <si>
    <t>Alice Chen</t>
  </si>
  <si>
    <t>0054z00000AAFA1E0p</t>
  </si>
  <si>
    <t>Bob Smith</t>
  </si>
  <si>
    <t>0051Y00000QAVBgScR</t>
  </si>
  <si>
    <t>Charlie Day</t>
  </si>
  <si>
    <t>Opp Owner Geo</t>
  </si>
  <si>
    <t>Segment</t>
  </si>
  <si>
    <t>0054z00000AAJA0qTj</t>
  </si>
  <si>
    <t>Diana Prince</t>
  </si>
  <si>
    <t>Opportunity Type</t>
  </si>
  <si>
    <t>Close Date</t>
  </si>
  <si>
    <t>0054z00000AAFA1E0i</t>
  </si>
  <si>
    <t>Edward Nygma</t>
  </si>
  <si>
    <t>Product Line</t>
  </si>
  <si>
    <t>Product Family</t>
  </si>
  <si>
    <t>0054z00000AAVA1UwC</t>
  </si>
  <si>
    <t>Total Price</t>
  </si>
  <si>
    <t>Fiona Gallagher</t>
  </si>
  <si>
    <t>Answer: EMEA has the highest total sales at $3,794,801.84</t>
  </si>
  <si>
    <t>0054z00000AAVA1UwD</t>
  </si>
  <si>
    <t>Rep Name</t>
  </si>
  <si>
    <t>George Bluth</t>
  </si>
  <si>
    <t>0054z00000AABA18jp</t>
  </si>
  <si>
    <t>Pivot Table:</t>
  </si>
  <si>
    <t>Hannah Abbott</t>
  </si>
  <si>
    <t>0054z00000AAVA1E0S</t>
  </si>
  <si>
    <t>Ian Wright</t>
  </si>
  <si>
    <t>For any questions or clarity needed, please don't hesitate to reach out to candie.fujisaki@okta.com with the subject line "Data Analyst Intern - [YOUR NAME]"</t>
  </si>
  <si>
    <t xml:space="preserve">You may (and are encouraged to) add any additional tabs or columns in this file as necessary. </t>
  </si>
  <si>
    <t>Sales</t>
  </si>
  <si>
    <t>1. Which geo has the highest sales?</t>
  </si>
  <si>
    <t>0061Y00000QA0nIxRU</t>
  </si>
  <si>
    <t>2. Which segment is better at selling CIAM?</t>
  </si>
  <si>
    <t>SUM of Total Price</t>
  </si>
  <si>
    <t>AMER</t>
  </si>
  <si>
    <t>APAC</t>
  </si>
  <si>
    <t>3. Bonus - How many upsell opportunities were there in September in AMER Enterprise?</t>
  </si>
  <si>
    <t>EMEA</t>
  </si>
  <si>
    <t>Grand Total</t>
  </si>
  <si>
    <t>Formula-based Table:</t>
  </si>
  <si>
    <t>Geography</t>
  </si>
  <si>
    <t>Total Sales ($)</t>
  </si>
  <si>
    <t xml:space="preserve">Opportunities (#) </t>
  </si>
  <si>
    <t>Total Sales (%)</t>
  </si>
  <si>
    <t>Avg. Deal Size ($)</t>
  </si>
  <si>
    <t>Enterprise</t>
  </si>
  <si>
    <t>People</t>
  </si>
  <si>
    <t>Q2: Which segment is better at selling CIAM?</t>
  </si>
  <si>
    <t>New Business</t>
  </si>
  <si>
    <t>Answer: Enterprise generates significantly more CIAM revenue than Corporate: $1,549,139 compared to $254,328, which is about 6.1 times higher.</t>
  </si>
  <si>
    <t>Workforce</t>
  </si>
  <si>
    <t>1. Who is the top performing sales rep? What geo do they come from?</t>
  </si>
  <si>
    <t>Workforce - C</t>
  </si>
  <si>
    <t>Written</t>
  </si>
  <si>
    <t>Workforce - B</t>
  </si>
  <si>
    <t>1. What are three questions you would ask sales leadership based on this data?</t>
  </si>
  <si>
    <t>CIAM Sales ($)</t>
  </si>
  <si>
    <t>Corporate</t>
  </si>
  <si>
    <t>Workforce - A</t>
  </si>
  <si>
    <t>Total</t>
  </si>
  <si>
    <t xml:space="preserve">Segment </t>
  </si>
  <si>
    <t>CIAM Opportunities ($)</t>
  </si>
  <si>
    <t>CIAM Line Items (#)</t>
  </si>
  <si>
    <t>Avg. Revenue per Opp ($)</t>
  </si>
  <si>
    <t>Analysis:</t>
  </si>
  <si>
    <t>Actionable Insight:</t>
  </si>
  <si>
    <t>EMEA leads total sales at $3.79M (49.9%) across 74 opportunities, while AMER contributes $2.69M (35.4%) across 44 opportunities. AMER’s average deal size is higher at about $61.2K versus $51.3K in EMEA, which suggests EMEA is winning through volume while AMER is winning relatively larger deals. APAC is the smallest region at $1.12M (14.7%) across 27 opportunities, with the lowest average deal size at $41.5K</t>
  </si>
  <si>
    <t>0061Y00000QA0nIxXH</t>
  </si>
  <si>
    <t>Leadership should understand why EMEA generates more volume while AMER produces larger average deals. That could point to differences in market mix, territory coverage, or sales motion. APAC should be reviewed separately because its result is concentrated in a single deal, so this dataset does not yet provide enough evidence to judge broad pipeline health there.</t>
  </si>
  <si>
    <t>Upsell</t>
  </si>
  <si>
    <t>0061Y00000QA0nJ1PR</t>
  </si>
  <si>
    <t>Actionable Insights:</t>
  </si>
  <si>
    <t>Enterprise clearly outperforms Corporate in CIAM, generating about $1.55M versus $254K. Enterprise represents roughly 86% of total CIAM revenue and also delivers much higher average revenue per opportunity, indicating that CIAM is landing more effectively in larger accounts.</t>
  </si>
  <si>
    <t xml:space="preserve">CIAM is clearly landing in Enterprise, the product's value proposition likely resonates with larger, more complex identity needs. Corporate CIAM deals are small and may need a different packaging or pricing motion to scale. </t>
  </si>
  <si>
    <t>0061Y00000QA0nJ6NX</t>
  </si>
  <si>
    <t>0061Y00000QA0nUpUC</t>
  </si>
  <si>
    <t>Q3: How many upsell opportunities in September in AMER Enterprise?</t>
  </si>
  <si>
    <t>Answer: There are three unique upsell opportunities in September aross all years for the AMER Enterprise</t>
  </si>
  <si>
    <t>0061Y00000QA0nVfKB</t>
  </si>
  <si>
    <t>0061Y00000QA0nVxXT</t>
  </si>
  <si>
    <t>COUNTA of Opportunity ID</t>
  </si>
  <si>
    <t>0061Y00000QA2orQEZ</t>
  </si>
  <si>
    <t>0061Y00000QA2shOKZ</t>
  </si>
  <si>
    <t>0061Y00000QA2slKVO</t>
  </si>
  <si>
    <t>0061Y00000QA0nW0HE</t>
  </si>
  <si>
    <t>Q4: Who is the top performing sales rep? What geo do they come from?</t>
  </si>
  <si>
    <t>Top overall performer: User ID 0051Y00000QARBgp8N from EMEA with $1,021,381.92 in sales.</t>
  </si>
  <si>
    <t>Top named performer: Alice Chen from AMER with $645,698.19 in sales.</t>
  </si>
  <si>
    <t>The People table is incomplete, the true top rep cannot be identified by name from the current mapping.</t>
  </si>
  <si>
    <t>ID</t>
  </si>
  <si>
    <t>Sum of Total Prices ($)</t>
  </si>
  <si>
    <t>Employee Name</t>
  </si>
  <si>
    <t>Data Quality Note:</t>
  </si>
  <si>
    <t>0061Y00000QA0oCbLE</t>
  </si>
  <si>
    <t>52 of 61 unique sales reps in Sales Data are not listed in the People table.</t>
  </si>
  <si>
    <t xml:space="preserve">The overall top representative by total sales (ID: 0051Y00000QARBgp8N, EMEA, $1,021,382) has no name mapping </t>
  </si>
  <si>
    <t>Q5: Three Questions for sales leadership based on this data</t>
  </si>
  <si>
    <t>1. Why is the People table incomplete? How does this affect pipeline visibility?</t>
  </si>
  <si>
    <t>0061Y00000QA0pM8QX</t>
  </si>
  <si>
    <t>52 of 61 unique reps in the Sales Data do not have a matching name in the People table. Those unmapped reps account for about $5.13M of $7.61M total sales (67.4%). That creates a major visibility gap because leadership cannot reliably attribute most revenue to named individuals, which weakens coaching, performance management, and territory planning.</t>
  </si>
  <si>
    <t>2. What is driving EMEA's outsized sales performance? Is the sales pipeline in AMER healthy?</t>
  </si>
  <si>
    <t>EMEA leads with $3.79M (49.9%), while AMER contributes $2.69M (35.4%). However, AMER’s average deal size is higher, while EMEA closes more opportunities. This raises an important leadership question: is EMEA outperforming because of stronger coverage and volume, or is AMER under-converting despite larger deal potential? The dataset supports a question about sales motion differences, but not a conclusion about broader market potential on its own.</t>
  </si>
  <si>
    <t>3. How should we expand CIAM adoption in the Corporate segment?</t>
  </si>
  <si>
    <t>CIAM revenue is concentrated in Enterprise, which contributes about $1.55M compared with $254K in Corporate. Corporate has only 6 CIAM opportunities in the dataset, which suggests weaker penetration. APAC contributes about $194K in CIAM across 2 opportunities, so the issue is less about complete absence and more about limited scale. Leadership should ask whether packaging, enablement, or cross-sell strategy is preventing broader Corporate and regional CIAM adoption.</t>
  </si>
  <si>
    <t>0061Y00000QA0pMhJF</t>
  </si>
  <si>
    <t>0061Y00000QA0pNtOZ</t>
  </si>
  <si>
    <t>0061Y00000QA0pO1FD</t>
  </si>
  <si>
    <t>0054z00000AAE97J5t</t>
  </si>
  <si>
    <t>CIAM</t>
  </si>
  <si>
    <t>CIAM - A</t>
  </si>
  <si>
    <t>0061Y00000QA0pO1JF</t>
  </si>
  <si>
    <t>0054z00000AAVA1E1Q</t>
  </si>
  <si>
    <t>0061Y00000QA0pO5RO</t>
  </si>
  <si>
    <t>0054z00000AAS9Iy8C</t>
  </si>
  <si>
    <t>0061Y00000QA0pOeLI</t>
  </si>
  <si>
    <t>0054z00000AAPAKOSd</t>
  </si>
  <si>
    <t>0061Y00000QA0pOeTM</t>
  </si>
  <si>
    <t>0054z00000AAFA1E0o</t>
  </si>
  <si>
    <t>0061Y00000QA0pOsXL</t>
  </si>
  <si>
    <t>0061Y00000QA0pP2TO</t>
  </si>
  <si>
    <t>0061Y00000QA0pP9QQ</t>
  </si>
  <si>
    <t>Workforce - D</t>
  </si>
  <si>
    <t>0061Y00000QA0pPdPF</t>
  </si>
  <si>
    <t>0054z00000AAQ98tcW</t>
  </si>
  <si>
    <t>0061Y00000QA0qUuSJ</t>
  </si>
  <si>
    <t>0054z00000AAVA1E0X</t>
  </si>
  <si>
    <t>0061Y00000QA0qV2VS</t>
  </si>
  <si>
    <t>0051Y00000QARBgp8W</t>
  </si>
  <si>
    <t>0061Y00000QA0qV2XT</t>
  </si>
  <si>
    <t>0061Y00000QA0qVwXY</t>
  </si>
  <si>
    <t>0061Y00000QA0qVyHH</t>
  </si>
  <si>
    <t>0054z00000AADAKaw6</t>
  </si>
  <si>
    <t>0061Y00000QA0qXfZK</t>
  </si>
  <si>
    <t>0061Y00000QA0qY6YF</t>
  </si>
  <si>
    <t>0061Y00000QA0qYpMG</t>
  </si>
  <si>
    <t>0061Y00000QA0qYxDS</t>
  </si>
  <si>
    <t>0061Y00000QA0rEzCK</t>
  </si>
  <si>
    <t>0061Y00000QA0rF4WP</t>
  </si>
  <si>
    <t>0054z00000AAFA1E1h</t>
  </si>
  <si>
    <t>0061Y00000QA0rFcON</t>
  </si>
  <si>
    <t>0061Y00000QA0rFmKY</t>
  </si>
  <si>
    <t>0054z00000AAK9KyWm</t>
  </si>
  <si>
    <t>0061Y00000QA0rFwNA</t>
  </si>
  <si>
    <t>0061Y00000QA0rG9FA</t>
  </si>
  <si>
    <t>0061Y00000QA0rGfMD</t>
  </si>
  <si>
    <t>0054z00000AAPAKHPh</t>
  </si>
  <si>
    <t>0061Y00000QA0rGiEE</t>
  </si>
  <si>
    <t>0054z00000AAVA1E1U</t>
  </si>
  <si>
    <t>0061Y00000QA0rH1FY</t>
  </si>
  <si>
    <t>0051Y00000QARBgp8N</t>
  </si>
  <si>
    <t>0061Y00000QA0rH4FC</t>
  </si>
  <si>
    <t>0061Y00000QA0rH6ED</t>
  </si>
  <si>
    <t>0054z00000AAQ985lY</t>
  </si>
  <si>
    <t>0061Y00000QA0rHaAU</t>
  </si>
  <si>
    <t>0061Y00000QA0rHrHR</t>
  </si>
  <si>
    <t>0051Y00000QARBei3T</t>
  </si>
  <si>
    <t>0061Y00000QA0rHrQY</t>
  </si>
  <si>
    <t>0061Y00000QA0rI1KA</t>
  </si>
  <si>
    <t>0061Y00000QA0rI2NE</t>
  </si>
  <si>
    <t>0054z00000AAFA1E0d</t>
  </si>
  <si>
    <t>0061Y00000QA0rImNX</t>
  </si>
  <si>
    <t>0054z00000AAU9yY6Y</t>
  </si>
  <si>
    <t>0061Y00000QA0rInCE</t>
  </si>
  <si>
    <t>0061Y00000QA0rIrID</t>
  </si>
  <si>
    <t>0061Y00000QA0rIvOD</t>
  </si>
  <si>
    <t>0061Y00000QA2mcJXN</t>
  </si>
  <si>
    <t>0061Y00000QA2nnDMH</t>
  </si>
  <si>
    <t>0051Y00000QANBgSQz</t>
  </si>
  <si>
    <t>0061Y00000QA2nnHCX</t>
  </si>
  <si>
    <t>0054z00000AAVA1E1X</t>
  </si>
  <si>
    <t>0061Y00000QA2nnSBG</t>
  </si>
  <si>
    <t>0061Y00000QA2nnUHJ</t>
  </si>
  <si>
    <t>0054z00000AAY98dRX</t>
  </si>
  <si>
    <t>0061Y00000QA2nnWFV</t>
  </si>
  <si>
    <t>0061Y00000QA2nnZMK</t>
  </si>
  <si>
    <t>0061Y00000QA2noDPT</t>
  </si>
  <si>
    <t>0061Y00000QA2noOMM</t>
  </si>
  <si>
    <t>0061Y00000QA2ooADC</t>
  </si>
  <si>
    <t>0054z00000AA29aDWI</t>
  </si>
  <si>
    <t>0061Y00000QA2ooOCY</t>
  </si>
  <si>
    <t>0054z00000AAFA1E15</t>
  </si>
  <si>
    <t>0061Y00000QA2opAIO</t>
  </si>
  <si>
    <t>0054z00000AAFA1E0f</t>
  </si>
  <si>
    <t>0061Y00000QA2opNZM</t>
  </si>
  <si>
    <t>0061Y00000QA2oqBMK</t>
  </si>
  <si>
    <t>0061Y00000QA2oqWWY</t>
  </si>
  <si>
    <t>0054z00000AAFA1E0k</t>
  </si>
  <si>
    <t>0061Y00000QA2orGEV</t>
  </si>
  <si>
    <t>0061Y00000QA2orOOZ</t>
  </si>
  <si>
    <t>0061Y00000QA2orQMQ</t>
  </si>
  <si>
    <t>0061Y00000QA2plRVM</t>
  </si>
  <si>
    <t>0061Y00000QA2rzFLT</t>
  </si>
  <si>
    <t>0061Y00000QA2rzGGS</t>
  </si>
  <si>
    <t>0061Y00000QA2rzOFX</t>
  </si>
  <si>
    <t>0061Y00000QA2rzPTD</t>
  </si>
  <si>
    <t>0061Y00000QA2rzXAO</t>
  </si>
  <si>
    <t>0054z00000AAQ9zzrE</t>
  </si>
  <si>
    <t>0061Y00000QA2rzXEV</t>
  </si>
  <si>
    <t>0061Y00000QA2s0HYB</t>
  </si>
  <si>
    <t>0061Y00000QA2s0MYL</t>
  </si>
  <si>
    <t>0061Y00000QA2s0SYE</t>
  </si>
  <si>
    <t>0054z00000AAPAKIS3</t>
  </si>
  <si>
    <t>0061Y00000QA2s0TEZ</t>
  </si>
  <si>
    <t>0061Y00000QA2s0UCC</t>
  </si>
  <si>
    <t>0054z00000AAFA1Iw7</t>
  </si>
  <si>
    <t>0061Y00000QA2s0UEQ</t>
  </si>
  <si>
    <t>0061Y00000QA2s1AOR</t>
  </si>
  <si>
    <t>0061Y00000QA2s1LND</t>
  </si>
  <si>
    <t>0061Y00000QA2s1RQJ</t>
  </si>
  <si>
    <t>0061Y00000QA2s1SGG</t>
  </si>
  <si>
    <t>0061Y00000QA2s1VMI</t>
  </si>
  <si>
    <t>0061Y00000QA2s2AQP</t>
  </si>
  <si>
    <t>0061Y00000QA2s2RLR</t>
  </si>
  <si>
    <t>0061Y00000QA2s2TGG</t>
  </si>
  <si>
    <t>0054z00000AAQ95znP</t>
  </si>
  <si>
    <t>Workforce - E</t>
  </si>
  <si>
    <t>0061Y00000QA2s2UQK</t>
  </si>
  <si>
    <t>0054z00000AALAIgV3</t>
  </si>
  <si>
    <t>0061Y00000QA2s2WSG</t>
  </si>
  <si>
    <t>0054z00000AAVA1E1W</t>
  </si>
  <si>
    <t>0061Y00000QA2sfFBB</t>
  </si>
  <si>
    <t>0054z00000AAFA1E0n</t>
  </si>
  <si>
    <t>0061Y00000QA2sfOSI</t>
  </si>
  <si>
    <t>0061Y00000QA2sfWWB</t>
  </si>
  <si>
    <t>0054z00000AAVA1E1Y</t>
  </si>
  <si>
    <t>0061Y00000QA2sgATU</t>
  </si>
  <si>
    <t>0061Y00000QA2sgEOI</t>
  </si>
  <si>
    <t>0061Y00000QA2sgFDQ</t>
  </si>
  <si>
    <t>0061Y00000QA2sgVNB</t>
  </si>
  <si>
    <t>0061Y00000QA2sgXLR</t>
  </si>
  <si>
    <t>0061Y00000QA2shBIZ</t>
  </si>
  <si>
    <t>0061Y00000QA2shLBO</t>
  </si>
  <si>
    <t>0054z00000AAFA1E0m</t>
  </si>
  <si>
    <t>0061Y00000QA2shOKK</t>
  </si>
  <si>
    <t>0054z00000AAA998l9</t>
  </si>
  <si>
    <t>0061Y00000QA2shXEQ</t>
  </si>
  <si>
    <t>0061Y00000QA2shXJF</t>
  </si>
  <si>
    <t>0054z00000AAFA1E0g</t>
  </si>
  <si>
    <t>0061Y00000QA2slAQM</t>
  </si>
  <si>
    <t>0054z00000AAFA1E0h</t>
  </si>
  <si>
    <t>0061Y00000QA2slCAR</t>
  </si>
  <si>
    <t>0054z00000AAFA1E16</t>
  </si>
  <si>
    <t>0061Y00000QA2slLHN</t>
  </si>
  <si>
    <t>0054z00000AAVA1UwE</t>
  </si>
  <si>
    <t>0061Y00000QA2slPET</t>
  </si>
  <si>
    <t>0061Y00000QA2slZRZ</t>
  </si>
  <si>
    <t>0054z00000AAVA1E1V</t>
  </si>
  <si>
    <t>0061Y00000QA2slZZH</t>
  </si>
  <si>
    <t>0054z00000AAFA1E1c</t>
  </si>
  <si>
    <t>0061Y00000QA2smBUA</t>
  </si>
  <si>
    <t>0061Y00000QA2smGZZ</t>
  </si>
  <si>
    <t>0061Y00000QA2smLPQ</t>
  </si>
  <si>
    <t>0054z00000AAHAJThl</t>
  </si>
  <si>
    <t>0061Y00000QA2smMPR</t>
  </si>
  <si>
    <t>0061Y00000QA2smROR</t>
  </si>
  <si>
    <t>0061Y00000QA2smSSW</t>
  </si>
  <si>
    <t>0054z00000AAFA1E0j</t>
  </si>
  <si>
    <t>0061Y00000QA2smWHQ</t>
  </si>
  <si>
    <t>0061Y00000QA2smXIU</t>
  </si>
  <si>
    <t>0054z00000AAVA1E1Z</t>
  </si>
  <si>
    <t>0061Y00000QA2snEGX</t>
  </si>
  <si>
    <t>0061Y00000QA2snFRH</t>
  </si>
  <si>
    <t>0054z00000AAFA1Iw8</t>
  </si>
  <si>
    <t>0061Y00000QA2snISK</t>
  </si>
  <si>
    <t>0061Y00000QA2snKZR</t>
  </si>
  <si>
    <t>0061Y00000QA2snPYZ</t>
  </si>
  <si>
    <t>0061Y00000QA2snQPV</t>
  </si>
  <si>
    <t>0061Y00000QA2ttYAP</t>
  </si>
  <si>
    <t>0061Y00000QA2ttZJY</t>
  </si>
  <si>
    <t>0061Y00000QA2ttZUM</t>
  </si>
  <si>
    <t>0061Y00000QA2tuAFA</t>
  </si>
  <si>
    <t>0061Y00000QA2tuBNL</t>
  </si>
  <si>
    <t>0054z00000AAVA1UwM</t>
  </si>
  <si>
    <t>0061Y00000QA2tvPHK</t>
  </si>
  <si>
    <t>0061Y00000QA2tvPHZ</t>
  </si>
  <si>
    <t>0054z00000AAFA1E0l</t>
  </si>
  <si>
    <t>0061Y00000QA2tvPTN</t>
  </si>
  <si>
    <t>0061Y00000QA2tvTIP</t>
  </si>
  <si>
    <t>0061Y00000QA2tvUHF</t>
  </si>
  <si>
    <t>0054z00000AAVA1UwF</t>
  </si>
  <si>
    <t>0061Y00000QA2tvXGG</t>
  </si>
  <si>
    <t>0061Y00000QA2twIHT</t>
  </si>
  <si>
    <t>0061Y00000QA2twLDD</t>
  </si>
  <si>
    <t>0061Y00000QA2twUED</t>
  </si>
  <si>
    <t>0054z00000AAVA1E0T</t>
  </si>
  <si>
    <t>0061Y00000QA2twXSM</t>
  </si>
  <si>
    <t>0051Y00000QARBgp8X</t>
  </si>
  <si>
    <t>0061Y00000QA2upLTH</t>
  </si>
  <si>
    <t>0054z00000AAFA1Iw9</t>
  </si>
  <si>
    <t>0061Y00000QA2upPHD</t>
  </si>
  <si>
    <t>0054z00000AAVA1E0U</t>
  </si>
  <si>
    <t>0061Y00000QA2upTLV</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</si>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</sst>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quot;$&quot;#,##0.00"/>
  </numFmts>
  <fonts count="10" x14ac:knownFonts="1">
    <font>
      <sz val="10"/>
      <color rgb="FF000000"/>
      <name val="Arial"/>
      <scheme val="minor"/>
    </font>
    <font>
      <sz val="10"/>
      <color theme="1"/>
      <name val="DM Sans"/>
    </font>
    <font>
      <b/>
      <sz val="10"/>
      <color theme="1"/>
      <name val="Arial"/>
      <family val="2"/>
      <scheme val="minor"/>
    </font>
    <font>
      <sz val="10"/>
      <color theme="1"/>
      <name val="Arial"/>
      <family val="2"/>
      <scheme val="minor"/>
    </font>
    <font>
      <b/>
      <sz val="11"/>
      <color rgb="FFFF0000"/>
      <name val="DM Sans"/>
    </font>
    <font>
      <i/>
      <sz val="11"/>
      <color rgb="FF000000"/>
      <name val="DM Sans"/>
    </font>
    <font>
      <b/>
      <sz val="10"/>
      <color theme="1"/>
      <name val="DM Sans"/>
    </font>
    <font>
      <sz val="10"/>
      <color rgb="FFFFFFFF"/>
      <name val="Arial"/>
      <family val="2"/>
      <scheme val="minor"/>
    </font>
    <font>
      <b/>
      <sz val="10"/>
      <color rgb="FF000000"/>
      <name val="Arial"/>
      <family val="2"/>
    </font>
    <font>
      <sz val="10"/>
      <color rgb="FF000000"/>
      <name val="Arial"/>
      <family val="2"/>
    </font>
  </fonts>
  <fills count="3">
    <fill>
      <patternFill patternType="none"/>
    </fill>
    <fill>
      <patternFill patternType="gray125"/>
    </fill>
    <fill>
      <patternFill patternType="solid">
        <fgColor rgb="FF1C4587"/>
        <bgColor rgb="FF1C4587"/>
      </patternFill>
    </fill>
  </fills>
  <borders count="7">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xf numFmtId="164" fontId="3" fillId="0" borderId="0" xfId="0" applyNumberFormat="1" applyFont="1"/>
    <xf numFmtId="165" fontId="3" fillId="0" borderId="0" xfId="0" applyNumberFormat="1" applyFont="1"/>
    <xf numFmtId="4" fontId="3" fillId="0" borderId="0" xfId="0" applyNumberFormat="1" applyFont="1"/>
    <xf numFmtId="10" fontId="3" fillId="0" borderId="0" xfId="0" applyNumberFormat="1" applyFont="1"/>
    <xf numFmtId="165" fontId="2" fillId="0" borderId="0" xfId="0" applyNumberFormat="1" applyFont="1"/>
    <xf numFmtId="10" fontId="2" fillId="0" borderId="0" xfId="0" applyNumberFormat="1" applyFont="1"/>
    <xf numFmtId="0" fontId="8" fillId="0" borderId="0" xfId="0" applyFont="1"/>
    <xf numFmtId="0" fontId="9" fillId="0" borderId="0" xfId="0" applyFont="1" applyAlignment="1">
      <alignment wrapText="1"/>
    </xf>
    <xf numFmtId="0" fontId="3" fillId="0" borderId="0" xfId="0" applyFont="1" applyAlignment="1">
      <alignment wrapText="1"/>
    </xf>
    <xf numFmtId="0" fontId="9" fillId="0" borderId="0" xfId="0" applyFont="1"/>
    <xf numFmtId="165" fontId="7" fillId="2" borderId="0" xfId="0" applyNumberFormat="1" applyFont="1" applyFill="1"/>
    <xf numFmtId="0" fontId="0" fillId="0" borderId="1" xfId="0" pivotButton="1" applyBorder="1"/>
    <xf numFmtId="0" fontId="0" fillId="0" borderId="2" xfId="0" applyBorder="1"/>
    <xf numFmtId="0" fontId="0" fillId="0" borderId="1" xfId="0" applyBorder="1"/>
    <xf numFmtId="0" fontId="0" fillId="0" borderId="3" xfId="0" applyBorder="1"/>
    <xf numFmtId="0" fontId="0" fillId="0" borderId="5" xfId="0" applyBorder="1"/>
    <xf numFmtId="0" fontId="0" fillId="0" borderId="6" xfId="0" applyBorder="1"/>
    <xf numFmtId="0" fontId="0" fillId="0" borderId="6" xfId="0" pivotButton="1" applyBorder="1"/>
    <xf numFmtId="0" fontId="0" fillId="0" borderId="2" xfId="0" applyNumberFormat="1" applyBorder="1"/>
    <xf numFmtId="0" fontId="0" fillId="0" borderId="4" xfId="0" applyNumberFormat="1" applyBorder="1"/>
    <xf numFmtId="0" fontId="0" fillId="0" borderId="6"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ayusha Hadke" refreshedDate="46250.586598032409" refreshedVersion="8" recordCount="435" xr:uid="{00000000-000A-0000-FFFF-FFFF00000000}">
  <cacheSource type="worksheet">
    <worksheetSource ref="A1:J436" sheet="Sales Data"/>
  </cacheSource>
  <cacheFields count="10">
    <cacheField name="Opportunity ID" numFmtId="0">
      <sharedItems count="145">
        <s v="0061Y00000QA0nIxRU"/>
        <s v="0061Y00000QA0nIxXH"/>
        <s v="0061Y00000QA0nJ1PR"/>
        <s v="0061Y00000QA0nJ6NX"/>
        <s v="0061Y00000QA0nUpUC"/>
        <s v="0061Y00000QA0nVfKB"/>
        <s v="0061Y00000QA0nVxXT"/>
        <s v="0061Y00000QA0nW0HE"/>
        <s v="0061Y00000QA0oCbLE"/>
        <s v="0061Y00000QA0pM8QX"/>
        <s v="0061Y00000QA0pMhJF"/>
        <s v="0061Y00000QA0pNtOZ"/>
        <s v="0061Y00000QA0pO1FD"/>
        <s v="0061Y00000QA0pO1JF"/>
        <s v="0061Y00000QA0pO5RO"/>
        <s v="0061Y00000QA0pOeLI"/>
        <s v="0061Y00000QA0pOeTM"/>
        <s v="0061Y00000QA0pOsXL"/>
        <s v="0061Y00000QA0pP2TO"/>
        <s v="0061Y00000QA0pP9QQ"/>
        <s v="0061Y00000QA0pPdPF"/>
        <s v="0061Y00000QA0qUuSJ"/>
        <s v="0061Y00000QA0qV2VS"/>
        <s v="0061Y00000QA0qV2XT"/>
        <s v="0061Y00000QA0qVwXY"/>
        <s v="0061Y00000QA0qVyHH"/>
        <s v="0061Y00000QA0qXfZK"/>
        <s v="0061Y00000QA0qY6YF"/>
        <s v="0061Y00000QA0qYpMG"/>
        <s v="0061Y00000QA0qYxDS"/>
        <s v="0061Y00000QA0rEzCK"/>
        <s v="0061Y00000QA0rF4WP"/>
        <s v="0061Y00000QA0rFcON"/>
        <s v="0061Y00000QA0rFmKY"/>
        <s v="0061Y00000QA0rFwNA"/>
        <s v="0061Y00000QA0rG9FA"/>
        <s v="0061Y00000QA0rGfMD"/>
        <s v="0061Y00000QA0rGiEE"/>
        <s v="0061Y00000QA0rH1FY"/>
        <s v="0061Y00000QA0rH4FC"/>
        <s v="0061Y00000QA0rH6ED"/>
        <s v="0061Y00000QA0rHaAU"/>
        <s v="0061Y00000QA0rHrHR"/>
        <s v="0061Y00000QA0rHrQY"/>
        <s v="0061Y00000QA0rI1KA"/>
        <s v="0061Y00000QA0rI2NE"/>
        <s v="0061Y00000QA0rImNX"/>
        <s v="0061Y00000QA0rInCE"/>
        <s v="0061Y00000QA0rIrID"/>
        <s v="0061Y00000QA0rIvOD"/>
        <s v="0061Y00000QA2mcJXN"/>
        <s v="0061Y00000QA2nnDMH"/>
        <s v="0061Y00000QA2nnHCX"/>
        <s v="0061Y00000QA2nnSBG"/>
        <s v="0061Y00000QA2nnUHJ"/>
        <s v="0061Y00000QA2nnWFV"/>
        <s v="0061Y00000QA2nnZMK"/>
        <s v="0061Y00000QA2noDPT"/>
        <s v="0061Y00000QA2noOMM"/>
        <s v="0061Y00000QA2ooADC"/>
        <s v="0061Y00000QA2ooOCY"/>
        <s v="0061Y00000QA2opAIO"/>
        <s v="0061Y00000QA2opNZM"/>
        <s v="0061Y00000QA2oqBMK"/>
        <s v="0061Y00000QA2oqWWY"/>
        <s v="0061Y00000QA2orGEV"/>
        <s v="0061Y00000QA2orOOZ"/>
        <s v="0061Y00000QA2orQEZ"/>
        <s v="0061Y00000QA2orQMQ"/>
        <s v="0061Y00000QA2plRVM"/>
        <s v="0061Y00000QA2rzFLT"/>
        <s v="0061Y00000QA2rzGGS"/>
        <s v="0061Y00000QA2rzOFX"/>
        <s v="0061Y00000QA2rzPTD"/>
        <s v="0061Y00000QA2rzXAO"/>
        <s v="0061Y00000QA2rzXEV"/>
        <s v="0061Y00000QA2s0HYB"/>
        <s v="0061Y00000QA2s0MYL"/>
        <s v="0061Y00000QA2s0SYE"/>
        <s v="0061Y00000QA2s0TEZ"/>
        <s v="0061Y00000QA2s0UCC"/>
        <s v="0061Y00000QA2s0UEQ"/>
        <s v="0061Y00000QA2s1AOR"/>
        <s v="0061Y00000QA2s1LND"/>
        <s v="0061Y00000QA2s1RQJ"/>
        <s v="0061Y00000QA2s1SGG"/>
        <s v="0061Y00000QA2s1VMI"/>
        <s v="0061Y00000QA2s2AQP"/>
        <s v="0061Y00000QA2s2RLR"/>
        <s v="0061Y00000QA2s2TGG"/>
        <s v="0061Y00000QA2s2UQK"/>
        <s v="0061Y00000QA2s2WSG"/>
        <s v="0061Y00000QA2sfFBB"/>
        <s v="0061Y00000QA2sfOSI"/>
        <s v="0061Y00000QA2sfWWB"/>
        <s v="0061Y00000QA2sgATU"/>
        <s v="0061Y00000QA2sgEOI"/>
        <s v="0061Y00000QA2sgFDQ"/>
        <s v="0061Y00000QA2sgVNB"/>
        <s v="0061Y00000QA2sgXLR"/>
        <s v="0061Y00000QA2shBIZ"/>
        <s v="0061Y00000QA2shLBO"/>
        <s v="0061Y00000QA2shOKK"/>
        <s v="0061Y00000QA2shOKZ"/>
        <s v="0061Y00000QA2shXEQ"/>
        <s v="0061Y00000QA2shXJF"/>
        <s v="0061Y00000QA2slAQM"/>
        <s v="0061Y00000QA2slCAR"/>
        <s v="0061Y00000QA2slKVO"/>
        <s v="0061Y00000QA2slLHN"/>
        <s v="0061Y00000QA2slPET"/>
        <s v="0061Y00000QA2slZRZ"/>
        <s v="0061Y00000QA2slZZH"/>
        <s v="0061Y00000QA2smBUA"/>
        <s v="0061Y00000QA2smGZZ"/>
        <s v="0061Y00000QA2smLPQ"/>
        <s v="0061Y00000QA2smMPR"/>
        <s v="0061Y00000QA2smROR"/>
        <s v="0061Y00000QA2smSSW"/>
        <s v="0061Y00000QA2smWHQ"/>
        <s v="0061Y00000QA2smXIU"/>
        <s v="0061Y00000QA2snEGX"/>
        <s v="0061Y00000QA2snFRH"/>
        <s v="0061Y00000QA2snISK"/>
        <s v="0061Y00000QA2snKZR"/>
        <s v="0061Y00000QA2snPYZ"/>
        <s v="0061Y00000QA2snQPV"/>
        <s v="0061Y00000QA2ttYAP"/>
        <s v="0061Y00000QA2ttZJY"/>
        <s v="0061Y00000QA2ttZUM"/>
        <s v="0061Y00000QA2tuAFA"/>
        <s v="0061Y00000QA2tuBNL"/>
        <s v="0061Y00000QA2tvPHK"/>
        <s v="0061Y00000QA2tvPHZ"/>
        <s v="0061Y00000QA2tvPTN"/>
        <s v="0061Y00000QA2tvTIP"/>
        <s v="0061Y00000QA2tvUHF"/>
        <s v="0061Y00000QA2tvXGG"/>
        <s v="0061Y00000QA2twIHT"/>
        <s v="0061Y00000QA2twLDD"/>
        <s v="0061Y00000QA2twUED"/>
        <s v="0061Y00000QA2twXSM"/>
        <s v="0061Y00000QA2upLTH"/>
        <s v="0061Y00000QA2upPHD"/>
        <s v="0061Y00000QA2upTLV"/>
      </sharedItems>
    </cacheField>
    <cacheField name="Opp Owner User ID" numFmtId="0">
      <sharedItems/>
    </cacheField>
    <cacheField name="Opp Owner Geo" numFmtId="0">
      <sharedItems count="3">
        <s v="AMER"/>
        <s v="EMEA"/>
        <s v="APAC"/>
      </sharedItems>
    </cacheField>
    <cacheField name="Segment" numFmtId="0">
      <sharedItems count="2">
        <s v="Enterprise"/>
        <s v="Corporate"/>
      </sharedItems>
    </cacheField>
    <cacheField name="Opportunity Type" numFmtId="0">
      <sharedItems count="2">
        <s v="New Business"/>
        <s v="Upsell"/>
      </sharedItems>
    </cacheField>
    <cacheField name="Close Date" numFmtId="164">
      <sharedItems containsSemiMixedTypes="0" containsNonDate="0" containsDate="1" containsString="0" minDate="2019-03-14T00:00:00" maxDate="2022-01-21T00:00:00" count="126">
        <d v="2019-09-06T00:00:00"/>
        <d v="2019-04-12T00:00:00"/>
        <d v="2019-03-25T00:00:00"/>
        <d v="2019-03-22T00:00:00"/>
        <d v="2019-05-06T00:00:00"/>
        <d v="2019-06-04T00:00:00"/>
        <d v="2019-06-14T00:00:00"/>
        <d v="2019-06-28T00:00:00"/>
        <d v="2019-10-23T00:00:00"/>
        <d v="2019-10-03T00:00:00"/>
        <d v="2019-10-17T00:00:00"/>
        <d v="2020-08-13T00:00:00"/>
        <d v="2019-12-11T00:00:00"/>
        <d v="2020-01-30T00:00:00"/>
        <d v="2019-10-31T00:00:00"/>
        <d v="2019-11-14T00:00:00"/>
        <d v="2020-03-31T00:00:00"/>
        <d v="2019-11-15T00:00:00"/>
        <d v="2020-01-23T00:00:00"/>
        <d v="2020-01-28T00:00:00"/>
        <d v="2020-03-27T00:00:00"/>
        <d v="2020-01-29T00:00:00"/>
        <d v="2019-12-06T00:00:00"/>
        <d v="2020-01-14T00:00:00"/>
        <d v="2020-01-27T00:00:00"/>
        <d v="2020-12-17T00:00:00"/>
        <d v="2020-01-31T00:00:00"/>
        <d v="2020-02-10T00:00:00"/>
        <d v="2020-02-06T00:00:00"/>
        <d v="2020-02-12T00:00:00"/>
        <d v="2020-05-27T00:00:00"/>
        <d v="2020-06-26T00:00:00"/>
        <d v="2020-04-30T00:00:00"/>
        <d v="2020-03-13T00:00:00"/>
        <d v="2020-05-06T00:00:00"/>
        <d v="2020-03-16T00:00:00"/>
        <d v="2020-04-29T00:00:00"/>
        <d v="2020-03-12T00:00:00"/>
        <d v="2020-03-20T00:00:00"/>
        <d v="2020-03-17T00:00:00"/>
        <d v="2020-03-25T00:00:00"/>
        <d v="2020-07-09T00:00:00"/>
        <d v="2020-10-18T00:00:00"/>
        <d v="2020-04-23T00:00:00"/>
        <d v="2020-07-30T00:00:00"/>
        <d v="2020-09-08T00:00:00"/>
        <d v="2019-06-30T00:00:00"/>
        <d v="2019-03-29T00:00:00"/>
        <d v="2019-03-14T00:00:00"/>
        <d v="2019-03-27T00:00:00"/>
        <d v="2019-06-27T00:00:00"/>
        <d v="2019-03-20T00:00:00"/>
        <d v="2019-04-08T00:00:00"/>
        <d v="2019-05-15T00:00:00"/>
        <d v="2019-06-13T00:00:00"/>
        <d v="2019-06-20T00:00:00"/>
        <d v="2019-06-24T00:00:00"/>
        <d v="2019-06-26T00:00:00"/>
        <d v="2019-07-29T00:00:00"/>
        <d v="2019-11-25T00:00:00"/>
        <d v="2019-08-20T00:00:00"/>
        <d v="2019-08-29T00:00:00"/>
        <d v="2019-09-30T00:00:00"/>
        <d v="2020-06-24T00:00:00"/>
        <d v="2020-04-20T00:00:00"/>
        <d v="2020-06-02T00:00:00"/>
        <d v="2020-08-31T00:00:00"/>
        <d v="2020-04-13T00:00:00"/>
        <d v="2020-07-29T00:00:00"/>
        <d v="2020-06-30T00:00:00"/>
        <d v="2020-05-08T00:00:00"/>
        <d v="2020-09-10T00:00:00"/>
        <d v="2020-07-31T00:00:00"/>
        <d v="2020-09-30T00:00:00"/>
        <d v="2020-11-20T00:00:00"/>
        <d v="2020-07-28T00:00:00"/>
        <d v="2020-06-23T00:00:00"/>
        <d v="2020-09-29T00:00:00"/>
        <d v="2020-06-16T00:00:00"/>
        <d v="2020-06-09T00:00:00"/>
        <d v="2020-06-25T00:00:00"/>
        <d v="2020-07-03T00:00:00"/>
        <d v="2020-07-16T00:00:00"/>
        <d v="2020-07-21T00:00:00"/>
        <d v="2020-07-23T00:00:00"/>
        <d v="2020-08-19T00:00:00"/>
        <d v="2020-09-09T00:00:00"/>
        <d v="2020-09-23T00:00:00"/>
        <d v="2020-09-03T00:00:00"/>
        <d v="2020-08-28T00:00:00"/>
        <d v="2020-10-30T00:00:00"/>
        <d v="2020-09-17T00:00:00"/>
        <d v="2020-09-12T00:00:00"/>
        <d v="2020-09-21T00:00:00"/>
        <d v="2020-10-27T00:00:00"/>
        <d v="2021-01-27T00:00:00"/>
        <d v="2020-12-23T00:00:00"/>
        <d v="2020-10-12T00:00:00"/>
        <d v="2020-11-18T00:00:00"/>
        <d v="2020-10-25T00:00:00"/>
        <d v="2020-12-30T00:00:00"/>
        <d v="2020-10-23T00:00:00"/>
        <d v="2021-02-27T00:00:00"/>
        <d v="2020-10-22T00:00:00"/>
        <d v="2020-10-31T00:00:00"/>
        <d v="2020-11-15T00:00:00"/>
        <d v="2020-11-23T00:00:00"/>
        <d v="2020-11-11T00:00:00"/>
        <d v="2020-12-31T00:00:00"/>
        <d v="2021-01-15T00:00:00"/>
        <d v="2020-12-20T00:00:00"/>
        <d v="2020-12-16T00:00:00"/>
        <d v="2021-01-13T00:00:00"/>
        <d v="2020-12-28T00:00:00"/>
        <d v="2021-01-21T00:00:00"/>
        <d v="2021-01-22T00:00:00"/>
        <d v="2021-01-19T00:00:00"/>
        <d v="2021-02-22T00:00:00"/>
        <d v="2021-01-28T00:00:00"/>
        <d v="2021-05-24T00:00:00"/>
        <d v="2021-02-15T00:00:00"/>
        <d v="2021-03-23T00:00:00"/>
        <d v="2021-05-19T00:00:00"/>
        <d v="2021-02-24T00:00:00"/>
        <d v="2022-01-20T00:00:00"/>
        <d v="2021-04-16T00:00:00"/>
      </sharedItems>
    </cacheField>
    <cacheField name="Product Line" numFmtId="0">
      <sharedItems count="2">
        <s v="Workforce"/>
        <s v="CIAM"/>
      </sharedItems>
    </cacheField>
    <cacheField name="Product Family" numFmtId="0">
      <sharedItems/>
    </cacheField>
    <cacheField name="Total Price" numFmtId="0">
      <sharedItems containsSemiMixedTypes="0" containsString="0" containsNumber="1" minValue="-879.26" maxValue="289482.34000000003"/>
    </cacheField>
    <cacheField name="Rep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
  <r>
    <x v="0"/>
    <s v="0054z00000AAVA1E0V"/>
    <x v="0"/>
    <x v="0"/>
    <x v="0"/>
    <x v="0"/>
    <x v="0"/>
    <s v="Workforce - C"/>
    <n v="48989.32"/>
    <s v="Alice Chen"/>
  </r>
  <r>
    <x v="0"/>
    <s v="0054z00000AAVA1E0V"/>
    <x v="0"/>
    <x v="0"/>
    <x v="0"/>
    <x v="0"/>
    <x v="0"/>
    <s v="Workforce - B"/>
    <n v="36741.99"/>
    <s v="Alice Chen"/>
  </r>
  <r>
    <x v="0"/>
    <s v="0054z00000AAVA1E0V"/>
    <x v="0"/>
    <x v="0"/>
    <x v="0"/>
    <x v="0"/>
    <x v="0"/>
    <s v="Workforce - A"/>
    <n v="24494.66"/>
    <s v="Alice Chen"/>
  </r>
  <r>
    <x v="0"/>
    <s v="0054z00000AAVA1E0V"/>
    <x v="0"/>
    <x v="0"/>
    <x v="0"/>
    <x v="0"/>
    <x v="0"/>
    <s v="Workforce - A"/>
    <n v="24494.66"/>
    <s v="Alice Chen"/>
  </r>
  <r>
    <x v="1"/>
    <s v="0054z00000AAFA1E0p"/>
    <x v="0"/>
    <x v="0"/>
    <x v="1"/>
    <x v="1"/>
    <x v="0"/>
    <s v="Workforce - B"/>
    <n v="8461.7900000000009"/>
    <s v="Bob Smith"/>
  </r>
  <r>
    <x v="1"/>
    <s v="0054z00000AAFA1E0p"/>
    <x v="0"/>
    <x v="0"/>
    <x v="1"/>
    <x v="1"/>
    <x v="0"/>
    <s v="Workforce - A"/>
    <n v="5641.19"/>
    <s v="Bob Smith"/>
  </r>
  <r>
    <x v="1"/>
    <s v="0054z00000AAFA1E0p"/>
    <x v="0"/>
    <x v="0"/>
    <x v="1"/>
    <x v="1"/>
    <x v="0"/>
    <s v="Workforce - A"/>
    <n v="2820.6"/>
    <s v="Bob Smith"/>
  </r>
  <r>
    <x v="2"/>
    <s v="0051Y00000QAVBgScR"/>
    <x v="0"/>
    <x v="1"/>
    <x v="0"/>
    <x v="2"/>
    <x v="0"/>
    <s v="Workforce - C"/>
    <n v="17421.98"/>
    <s v="Charlie Day"/>
  </r>
  <r>
    <x v="2"/>
    <s v="0051Y00000QAVBgScR"/>
    <x v="0"/>
    <x v="1"/>
    <x v="0"/>
    <x v="2"/>
    <x v="0"/>
    <s v="Workforce - C"/>
    <n v="52264.52"/>
    <s v="Charlie Day"/>
  </r>
  <r>
    <x v="2"/>
    <s v="0051Y00000QAVBgScR"/>
    <x v="0"/>
    <x v="1"/>
    <x v="0"/>
    <x v="2"/>
    <x v="0"/>
    <s v="Workforce - B"/>
    <n v="52264.52"/>
    <s v="Charlie Day"/>
  </r>
  <r>
    <x v="2"/>
    <s v="0051Y00000QAVBgScR"/>
    <x v="0"/>
    <x v="1"/>
    <x v="0"/>
    <x v="2"/>
    <x v="0"/>
    <s v="Workforce - A"/>
    <n v="17421.98"/>
    <s v="Charlie Day"/>
  </r>
  <r>
    <x v="2"/>
    <s v="0051Y00000QAVBgScR"/>
    <x v="0"/>
    <x v="1"/>
    <x v="0"/>
    <x v="2"/>
    <x v="0"/>
    <s v="Workforce - A"/>
    <n v="17421.98"/>
    <s v="Charlie Day"/>
  </r>
  <r>
    <x v="3"/>
    <s v="0054z00000AAJA0qTj"/>
    <x v="0"/>
    <x v="1"/>
    <x v="1"/>
    <x v="3"/>
    <x v="0"/>
    <s v="Workforce - B"/>
    <n v="16102.8"/>
    <s v="Diana Prince"/>
  </r>
  <r>
    <x v="4"/>
    <s v="0054z00000AAVA1E0V"/>
    <x v="0"/>
    <x v="0"/>
    <x v="1"/>
    <x v="4"/>
    <x v="0"/>
    <s v="Workforce - B"/>
    <n v="19595.73"/>
    <s v="Alice Chen"/>
  </r>
  <r>
    <x v="4"/>
    <s v="0054z00000AAVA1E0V"/>
    <x v="0"/>
    <x v="0"/>
    <x v="1"/>
    <x v="4"/>
    <x v="0"/>
    <s v="Workforce - A"/>
    <n v="10234.969999999999"/>
    <s v="Alice Chen"/>
  </r>
  <r>
    <x v="4"/>
    <s v="0054z00000AAVA1E0V"/>
    <x v="0"/>
    <x v="0"/>
    <x v="1"/>
    <x v="4"/>
    <x v="0"/>
    <s v="Workforce - A"/>
    <n v="5117.49"/>
    <s v="Alice Chen"/>
  </r>
  <r>
    <x v="5"/>
    <s v="0054z00000AAFA1E0i"/>
    <x v="1"/>
    <x v="1"/>
    <x v="1"/>
    <x v="5"/>
    <x v="0"/>
    <s v="Workforce - A"/>
    <n v="8560.9"/>
    <s v="Edward Nygma"/>
  </r>
  <r>
    <x v="5"/>
    <s v="0054z00000AAFA1E0i"/>
    <x v="1"/>
    <x v="1"/>
    <x v="1"/>
    <x v="5"/>
    <x v="0"/>
    <s v="Workforce - A"/>
    <n v="5466.43"/>
    <s v="Edward Nygma"/>
  </r>
  <r>
    <x v="6"/>
    <s v="0054z00000AAVA1UwC"/>
    <x v="0"/>
    <x v="1"/>
    <x v="1"/>
    <x v="6"/>
    <x v="0"/>
    <s v="Workforce - C"/>
    <n v="1226.8800000000001"/>
    <s v="Fiona Gallagher"/>
  </r>
  <r>
    <x v="6"/>
    <s v="0054z00000AAVA1UwC"/>
    <x v="0"/>
    <x v="1"/>
    <x v="1"/>
    <x v="6"/>
    <x v="0"/>
    <s v="Workforce - B"/>
    <n v="858.82"/>
    <s v="Fiona Gallagher"/>
  </r>
  <r>
    <x v="6"/>
    <s v="0054z00000AAVA1UwC"/>
    <x v="0"/>
    <x v="1"/>
    <x v="1"/>
    <x v="6"/>
    <x v="0"/>
    <s v="Workforce - A"/>
    <n v="286.27"/>
    <s v="Fiona Gallagher"/>
  </r>
  <r>
    <x v="6"/>
    <s v="0054z00000AAVA1UwC"/>
    <x v="0"/>
    <x v="1"/>
    <x v="1"/>
    <x v="6"/>
    <x v="0"/>
    <s v="Workforce - A"/>
    <n v="143.13999999999999"/>
    <s v="Fiona Gallagher"/>
  </r>
  <r>
    <x v="7"/>
    <s v="0054z00000AAVA1UwD"/>
    <x v="0"/>
    <x v="0"/>
    <x v="1"/>
    <x v="5"/>
    <x v="0"/>
    <s v="Workforce - A"/>
    <n v="2375.2399999999998"/>
    <s v="George Bluth"/>
  </r>
  <r>
    <x v="7"/>
    <s v="0054z00000AAVA1UwD"/>
    <x v="0"/>
    <x v="0"/>
    <x v="1"/>
    <x v="5"/>
    <x v="0"/>
    <s v="Workforce - A"/>
    <n v="2375.2399999999998"/>
    <s v="George Bluth"/>
  </r>
  <r>
    <x v="8"/>
    <s v="0054z00000AABA18jp"/>
    <x v="2"/>
    <x v="0"/>
    <x v="1"/>
    <x v="7"/>
    <x v="0"/>
    <s v="Workforce - B"/>
    <n v="65446.93"/>
    <s v="Hannah Abbott"/>
  </r>
  <r>
    <x v="8"/>
    <s v="0054z00000AABA18jp"/>
    <x v="2"/>
    <x v="0"/>
    <x v="1"/>
    <x v="7"/>
    <x v="0"/>
    <s v="Workforce - A"/>
    <n v="10070.030000000001"/>
    <s v="Hannah Abbott"/>
  </r>
  <r>
    <x v="8"/>
    <s v="0054z00000AABA18jp"/>
    <x v="2"/>
    <x v="0"/>
    <x v="1"/>
    <x v="7"/>
    <x v="0"/>
    <s v="Workforce - A"/>
    <n v="5035.01"/>
    <s v="Hannah Abbott"/>
  </r>
  <r>
    <x v="9"/>
    <s v="0054z00000AAVA1UwD"/>
    <x v="0"/>
    <x v="0"/>
    <x v="1"/>
    <x v="8"/>
    <x v="0"/>
    <s v="Workforce - C"/>
    <n v="126192.86"/>
    <s v="George Bluth"/>
  </r>
  <r>
    <x v="10"/>
    <s v="0054z00000AAVA1E0S"/>
    <x v="0"/>
    <x v="0"/>
    <x v="1"/>
    <x v="9"/>
    <x v="0"/>
    <s v="Workforce - C"/>
    <n v="23154.46"/>
    <s v="Ian Wright"/>
  </r>
  <r>
    <x v="10"/>
    <s v="0054z00000AAVA1E0S"/>
    <x v="0"/>
    <x v="0"/>
    <x v="1"/>
    <x v="9"/>
    <x v="0"/>
    <s v="Workforce - B"/>
    <n v="17364.82"/>
    <s v="Ian Wright"/>
  </r>
  <r>
    <x v="10"/>
    <s v="0054z00000AAVA1E0S"/>
    <x v="0"/>
    <x v="0"/>
    <x v="1"/>
    <x v="9"/>
    <x v="0"/>
    <s v="Workforce - A"/>
    <n v="5789.65"/>
    <s v="Ian Wright"/>
  </r>
  <r>
    <x v="10"/>
    <s v="0054z00000AAVA1E0S"/>
    <x v="0"/>
    <x v="0"/>
    <x v="1"/>
    <x v="9"/>
    <x v="0"/>
    <s v="Workforce - A"/>
    <n v="2894.82"/>
    <s v="Ian Wright"/>
  </r>
  <r>
    <x v="11"/>
    <s v="0054z00000AAFA1E0p"/>
    <x v="0"/>
    <x v="0"/>
    <x v="1"/>
    <x v="10"/>
    <x v="0"/>
    <s v="Workforce - B"/>
    <n v="3859.76"/>
    <s v="Bob Smith"/>
  </r>
  <r>
    <x v="12"/>
    <s v="0054z00000AAE97J5t"/>
    <x v="2"/>
    <x v="0"/>
    <x v="0"/>
    <x v="11"/>
    <x v="1"/>
    <s v="CIAM - A"/>
    <n v="116545.51"/>
    <s v=""/>
  </r>
  <r>
    <x v="12"/>
    <s v="0054z00000AAE97J5t"/>
    <x v="2"/>
    <x v="0"/>
    <x v="0"/>
    <x v="11"/>
    <x v="1"/>
    <s v="CIAM - A"/>
    <n v="22199.14"/>
    <s v=""/>
  </r>
  <r>
    <x v="12"/>
    <s v="0054z00000AAE97J5t"/>
    <x v="2"/>
    <x v="0"/>
    <x v="0"/>
    <x v="11"/>
    <x v="1"/>
    <s v="CIAM - A"/>
    <n v="22199.14"/>
    <s v=""/>
  </r>
  <r>
    <x v="13"/>
    <s v="0054z00000AAVA1E1Q"/>
    <x v="1"/>
    <x v="1"/>
    <x v="1"/>
    <x v="12"/>
    <x v="0"/>
    <s v="Workforce - C"/>
    <n v="4363.9399999999996"/>
    <s v=""/>
  </r>
  <r>
    <x v="14"/>
    <s v="0054z00000AAS9Iy8C"/>
    <x v="0"/>
    <x v="0"/>
    <x v="0"/>
    <x v="13"/>
    <x v="0"/>
    <s v="Workforce - A"/>
    <n v="2886.58"/>
    <s v=""/>
  </r>
  <r>
    <x v="14"/>
    <s v="0054z00000AAS9Iy8C"/>
    <x v="0"/>
    <x v="0"/>
    <x v="0"/>
    <x v="13"/>
    <x v="0"/>
    <s v="Workforce - A"/>
    <n v="2886.58"/>
    <s v=""/>
  </r>
  <r>
    <x v="15"/>
    <s v="0054z00000AAPAKOSd"/>
    <x v="0"/>
    <x v="0"/>
    <x v="1"/>
    <x v="14"/>
    <x v="0"/>
    <s v="Workforce - C"/>
    <n v="105252.81"/>
    <s v=""/>
  </r>
  <r>
    <x v="15"/>
    <s v="0054z00000AAPAKOSd"/>
    <x v="0"/>
    <x v="0"/>
    <x v="1"/>
    <x v="14"/>
    <x v="0"/>
    <s v="Workforce - B"/>
    <n v="78939.61"/>
    <s v=""/>
  </r>
  <r>
    <x v="15"/>
    <s v="0054z00000AAPAKOSd"/>
    <x v="0"/>
    <x v="0"/>
    <x v="1"/>
    <x v="14"/>
    <x v="0"/>
    <s v="Workforce - A"/>
    <n v="26313.200000000001"/>
    <s v=""/>
  </r>
  <r>
    <x v="15"/>
    <s v="0054z00000AAPAKOSd"/>
    <x v="0"/>
    <x v="0"/>
    <x v="1"/>
    <x v="14"/>
    <x v="0"/>
    <s v="Workforce - A"/>
    <n v="13154.54"/>
    <s v=""/>
  </r>
  <r>
    <x v="16"/>
    <s v="0054z00000AAFA1E0o"/>
    <x v="0"/>
    <x v="0"/>
    <x v="1"/>
    <x v="15"/>
    <x v="0"/>
    <s v="Workforce - C"/>
    <n v="83133.39"/>
    <s v=""/>
  </r>
  <r>
    <x v="16"/>
    <s v="0054z00000AAFA1E0o"/>
    <x v="0"/>
    <x v="0"/>
    <x v="1"/>
    <x v="15"/>
    <x v="0"/>
    <s v="Workforce - A"/>
    <n v="22515.29"/>
    <s v=""/>
  </r>
  <r>
    <x v="16"/>
    <s v="0054z00000AAFA1E0o"/>
    <x v="0"/>
    <x v="0"/>
    <x v="1"/>
    <x v="15"/>
    <x v="0"/>
    <s v="Workforce - A"/>
    <n v="11257.65"/>
    <s v=""/>
  </r>
  <r>
    <x v="17"/>
    <s v="0054z00000AAPAKOSd"/>
    <x v="0"/>
    <x v="0"/>
    <x v="0"/>
    <x v="16"/>
    <x v="0"/>
    <s v="Workforce - C"/>
    <n v="19340.060000000001"/>
    <s v=""/>
  </r>
  <r>
    <x v="17"/>
    <s v="0054z00000AAPAKOSd"/>
    <x v="0"/>
    <x v="0"/>
    <x v="0"/>
    <x v="16"/>
    <x v="0"/>
    <s v="Workforce - C"/>
    <n v="38680.120000000003"/>
    <s v=""/>
  </r>
  <r>
    <x v="17"/>
    <s v="0054z00000AAPAKOSd"/>
    <x v="0"/>
    <x v="0"/>
    <x v="0"/>
    <x v="16"/>
    <x v="0"/>
    <s v="Workforce - B"/>
    <n v="50473.84"/>
    <s v=""/>
  </r>
  <r>
    <x v="17"/>
    <s v="0054z00000AAPAKOSd"/>
    <x v="0"/>
    <x v="0"/>
    <x v="0"/>
    <x v="16"/>
    <x v="0"/>
    <s v="Workforce - A"/>
    <n v="19340.060000000001"/>
    <s v=""/>
  </r>
  <r>
    <x v="17"/>
    <s v="0054z00000AAPAKOSd"/>
    <x v="0"/>
    <x v="0"/>
    <x v="0"/>
    <x v="16"/>
    <x v="0"/>
    <s v="Workforce - A"/>
    <n v="19340.060000000001"/>
    <s v=""/>
  </r>
  <r>
    <x v="18"/>
    <s v="0054z00000AAFA1E0i"/>
    <x v="1"/>
    <x v="1"/>
    <x v="1"/>
    <x v="17"/>
    <x v="0"/>
    <s v="Workforce - B"/>
    <n v="357.84"/>
    <s v="Edward Nygma"/>
  </r>
  <r>
    <x v="19"/>
    <s v="0054z00000AABA18jp"/>
    <x v="2"/>
    <x v="0"/>
    <x v="1"/>
    <x v="18"/>
    <x v="0"/>
    <s v="Workforce - D"/>
    <n v="289482.34000000003"/>
    <s v="Hannah Abbott"/>
  </r>
  <r>
    <x v="20"/>
    <s v="0054z00000AAQ98tcW"/>
    <x v="0"/>
    <x v="1"/>
    <x v="0"/>
    <x v="19"/>
    <x v="0"/>
    <s v="Workforce - B"/>
    <n v="5751"/>
    <s v=""/>
  </r>
  <r>
    <x v="20"/>
    <s v="0054z00000AAQ98tcW"/>
    <x v="0"/>
    <x v="1"/>
    <x v="0"/>
    <x v="19"/>
    <x v="0"/>
    <s v="Workforce - A"/>
    <n v="8946"/>
    <s v=""/>
  </r>
  <r>
    <x v="20"/>
    <s v="0054z00000AAQ98tcW"/>
    <x v="0"/>
    <x v="1"/>
    <x v="0"/>
    <x v="19"/>
    <x v="0"/>
    <s v="Workforce - A"/>
    <n v="8946"/>
    <s v=""/>
  </r>
  <r>
    <x v="21"/>
    <s v="0054z00000AAVA1E0X"/>
    <x v="0"/>
    <x v="1"/>
    <x v="0"/>
    <x v="20"/>
    <x v="0"/>
    <s v="Workforce - C"/>
    <n v="12821.18"/>
    <s v=""/>
  </r>
  <r>
    <x v="21"/>
    <s v="0054z00000AAVA1E0X"/>
    <x v="0"/>
    <x v="1"/>
    <x v="0"/>
    <x v="20"/>
    <x v="0"/>
    <s v="Workforce - B"/>
    <n v="16026.12"/>
    <s v=""/>
  </r>
  <r>
    <x v="21"/>
    <s v="0054z00000AAVA1E0X"/>
    <x v="0"/>
    <x v="1"/>
    <x v="0"/>
    <x v="20"/>
    <x v="0"/>
    <s v="Workforce - A"/>
    <n v="6672.58"/>
    <s v=""/>
  </r>
  <r>
    <x v="21"/>
    <s v="0054z00000AAVA1E0X"/>
    <x v="0"/>
    <x v="1"/>
    <x v="0"/>
    <x v="20"/>
    <x v="0"/>
    <s v="Workforce - A"/>
    <n v="6409.88"/>
    <s v=""/>
  </r>
  <r>
    <x v="22"/>
    <s v="0051Y00000QARBgp8W"/>
    <x v="0"/>
    <x v="1"/>
    <x v="1"/>
    <x v="21"/>
    <x v="0"/>
    <s v="Workforce - C"/>
    <n v="4922.8599999999997"/>
    <s v=""/>
  </r>
  <r>
    <x v="22"/>
    <s v="0051Y00000QARBgp8W"/>
    <x v="0"/>
    <x v="1"/>
    <x v="1"/>
    <x v="21"/>
    <x v="0"/>
    <s v="Workforce - B"/>
    <n v="7383.43"/>
    <s v=""/>
  </r>
  <r>
    <x v="22"/>
    <s v="0051Y00000QARBgp8W"/>
    <x v="0"/>
    <x v="1"/>
    <x v="1"/>
    <x v="21"/>
    <x v="0"/>
    <s v="Workforce - A"/>
    <n v="2460.58"/>
    <s v=""/>
  </r>
  <r>
    <x v="22"/>
    <s v="0051Y00000QARBgp8W"/>
    <x v="0"/>
    <x v="1"/>
    <x v="1"/>
    <x v="21"/>
    <x v="0"/>
    <s v="Workforce - A"/>
    <n v="1230.29"/>
    <s v=""/>
  </r>
  <r>
    <x v="23"/>
    <s v="0054z00000AAFA1E0p"/>
    <x v="0"/>
    <x v="0"/>
    <x v="1"/>
    <x v="22"/>
    <x v="0"/>
    <s v="Workforce - C"/>
    <n v="41566.69"/>
    <s v="Bob Smith"/>
  </r>
  <r>
    <x v="23"/>
    <s v="0054z00000AAFA1E0p"/>
    <x v="0"/>
    <x v="0"/>
    <x v="1"/>
    <x v="22"/>
    <x v="0"/>
    <s v="Workforce - A"/>
    <n v="25236.92"/>
    <s v="Bob Smith"/>
  </r>
  <r>
    <x v="23"/>
    <s v="0054z00000AAFA1E0p"/>
    <x v="0"/>
    <x v="0"/>
    <x v="1"/>
    <x v="22"/>
    <x v="0"/>
    <s v="Workforce - A"/>
    <n v="12618.46"/>
    <s v="Bob Smith"/>
  </r>
  <r>
    <x v="24"/>
    <s v="0054z00000AAFA1E0i"/>
    <x v="1"/>
    <x v="1"/>
    <x v="0"/>
    <x v="23"/>
    <x v="0"/>
    <s v="Workforce - C"/>
    <n v="6475.2"/>
    <s v="Edward Nygma"/>
  </r>
  <r>
    <x v="24"/>
    <s v="0054z00000AAFA1E0i"/>
    <x v="1"/>
    <x v="1"/>
    <x v="0"/>
    <x v="23"/>
    <x v="0"/>
    <s v="Workforce - B"/>
    <n v="4856.3999999999996"/>
    <s v="Edward Nygma"/>
  </r>
  <r>
    <x v="24"/>
    <s v="0054z00000AAFA1E0i"/>
    <x v="1"/>
    <x v="1"/>
    <x v="0"/>
    <x v="23"/>
    <x v="0"/>
    <s v="Workforce - A"/>
    <n v="3237.6"/>
    <s v="Edward Nygma"/>
  </r>
  <r>
    <x v="24"/>
    <s v="0054z00000AAFA1E0i"/>
    <x v="1"/>
    <x v="1"/>
    <x v="0"/>
    <x v="23"/>
    <x v="0"/>
    <s v="Workforce - A"/>
    <n v="3237.6"/>
    <s v="Edward Nygma"/>
  </r>
  <r>
    <x v="25"/>
    <s v="0054z00000AADAKaw6"/>
    <x v="2"/>
    <x v="1"/>
    <x v="0"/>
    <x v="24"/>
    <x v="0"/>
    <s v="Workforce - B"/>
    <n v="7361.28"/>
    <s v=""/>
  </r>
  <r>
    <x v="25"/>
    <s v="0054z00000AADAKaw6"/>
    <x v="2"/>
    <x v="1"/>
    <x v="0"/>
    <x v="24"/>
    <x v="0"/>
    <s v="Workforce - A"/>
    <n v="4907.5200000000004"/>
    <s v=""/>
  </r>
  <r>
    <x v="25"/>
    <s v="0054z00000AADAKaw6"/>
    <x v="2"/>
    <x v="1"/>
    <x v="0"/>
    <x v="24"/>
    <x v="0"/>
    <s v="Workforce - A"/>
    <n v="4907.5200000000004"/>
    <s v=""/>
  </r>
  <r>
    <x v="26"/>
    <s v="0054z00000AAVA1E0V"/>
    <x v="0"/>
    <x v="0"/>
    <x v="0"/>
    <x v="25"/>
    <x v="1"/>
    <s v="CIAM - A"/>
    <n v="77284.639999999999"/>
    <s v="Alice Chen"/>
  </r>
  <r>
    <x v="26"/>
    <s v="0054z00000AAVA1E0V"/>
    <x v="0"/>
    <x v="0"/>
    <x v="0"/>
    <x v="25"/>
    <x v="1"/>
    <s v="CIAM - A"/>
    <n v="42886.27"/>
    <s v="Alice Chen"/>
  </r>
  <r>
    <x v="27"/>
    <s v="0054z00000AADAKaw6"/>
    <x v="2"/>
    <x v="1"/>
    <x v="1"/>
    <x v="26"/>
    <x v="1"/>
    <s v="CIAM - A"/>
    <n v="11928"/>
    <s v=""/>
  </r>
  <r>
    <x v="27"/>
    <s v="0054z00000AADAKaw6"/>
    <x v="2"/>
    <x v="1"/>
    <x v="1"/>
    <x v="26"/>
    <x v="1"/>
    <s v="CIAM - A"/>
    <n v="14484"/>
    <s v=""/>
  </r>
  <r>
    <x v="27"/>
    <s v="0054z00000AADAKaw6"/>
    <x v="2"/>
    <x v="1"/>
    <x v="1"/>
    <x v="26"/>
    <x v="1"/>
    <s v="CIAM - A"/>
    <n v="6816"/>
    <s v=""/>
  </r>
  <r>
    <x v="28"/>
    <s v="0051Y00000QARBgp8W"/>
    <x v="0"/>
    <x v="1"/>
    <x v="1"/>
    <x v="26"/>
    <x v="0"/>
    <s v="Workforce - C"/>
    <n v="3435.26"/>
    <s v=""/>
  </r>
  <r>
    <x v="28"/>
    <s v="0051Y00000QARBgp8W"/>
    <x v="0"/>
    <x v="1"/>
    <x v="1"/>
    <x v="26"/>
    <x v="0"/>
    <s v="Workforce - C"/>
    <n v="6870.53"/>
    <s v=""/>
  </r>
  <r>
    <x v="28"/>
    <s v="0051Y00000QARBgp8W"/>
    <x v="0"/>
    <x v="1"/>
    <x v="1"/>
    <x v="26"/>
    <x v="0"/>
    <s v="Workforce - B"/>
    <n v="10305.790000000001"/>
    <s v=""/>
  </r>
  <r>
    <x v="28"/>
    <s v="0051Y00000QARBgp8W"/>
    <x v="0"/>
    <x v="1"/>
    <x v="1"/>
    <x v="26"/>
    <x v="0"/>
    <s v="Workforce - A"/>
    <n v="3435.26"/>
    <s v=""/>
  </r>
  <r>
    <x v="28"/>
    <s v="0051Y00000QARBgp8W"/>
    <x v="0"/>
    <x v="1"/>
    <x v="1"/>
    <x v="26"/>
    <x v="0"/>
    <s v="Workforce - A"/>
    <n v="3435.26"/>
    <s v=""/>
  </r>
  <r>
    <x v="29"/>
    <s v="0054z00000AAVA1UwD"/>
    <x v="0"/>
    <x v="0"/>
    <x v="1"/>
    <x v="26"/>
    <x v="1"/>
    <s v="CIAM - A"/>
    <n v="123710.39999999999"/>
    <s v="George Bluth"/>
  </r>
  <r>
    <x v="29"/>
    <s v="0054z00000AAVA1UwD"/>
    <x v="0"/>
    <x v="0"/>
    <x v="1"/>
    <x v="26"/>
    <x v="1"/>
    <s v="CIAM - A"/>
    <n v="24742.080000000002"/>
    <s v="George Bluth"/>
  </r>
  <r>
    <x v="29"/>
    <s v="0054z00000AAVA1UwD"/>
    <x v="0"/>
    <x v="0"/>
    <x v="1"/>
    <x v="26"/>
    <x v="1"/>
    <s v="CIAM - A"/>
    <n v="29690.5"/>
    <s v="George Bluth"/>
  </r>
  <r>
    <x v="30"/>
    <s v="0054z00000AAFA1E0o"/>
    <x v="0"/>
    <x v="0"/>
    <x v="1"/>
    <x v="27"/>
    <x v="0"/>
    <s v="Workforce - C"/>
    <n v="8313.34"/>
    <s v=""/>
  </r>
  <r>
    <x v="30"/>
    <s v="0054z00000AAFA1E0o"/>
    <x v="0"/>
    <x v="0"/>
    <x v="1"/>
    <x v="27"/>
    <x v="0"/>
    <s v="Workforce - A"/>
    <n v="2424.7199999999998"/>
    <s v=""/>
  </r>
  <r>
    <x v="30"/>
    <s v="0054z00000AAFA1E0o"/>
    <x v="0"/>
    <x v="0"/>
    <x v="1"/>
    <x v="27"/>
    <x v="0"/>
    <s v="Workforce - A"/>
    <n v="1212.3599999999999"/>
    <s v=""/>
  </r>
  <r>
    <x v="31"/>
    <s v="0054z00000AAFA1E1h"/>
    <x v="1"/>
    <x v="1"/>
    <x v="1"/>
    <x v="28"/>
    <x v="0"/>
    <s v="Workforce - C"/>
    <n v="6844.97"/>
    <s v=""/>
  </r>
  <r>
    <x v="31"/>
    <s v="0054z00000AAFA1E1h"/>
    <x v="1"/>
    <x v="1"/>
    <x v="1"/>
    <x v="28"/>
    <x v="0"/>
    <s v="Workforce - B"/>
    <n v="4277.04"/>
    <s v=""/>
  </r>
  <r>
    <x v="31"/>
    <s v="0054z00000AAFA1E1h"/>
    <x v="1"/>
    <x v="1"/>
    <x v="1"/>
    <x v="28"/>
    <x v="0"/>
    <s v="Workforce - A"/>
    <n v="1710.82"/>
    <s v=""/>
  </r>
  <r>
    <x v="31"/>
    <s v="0054z00000AAFA1E1h"/>
    <x v="1"/>
    <x v="1"/>
    <x v="1"/>
    <x v="28"/>
    <x v="0"/>
    <s v="Workforce - A"/>
    <n v="855.41"/>
    <s v=""/>
  </r>
  <r>
    <x v="32"/>
    <s v="0054z00000AAVA1E1Q"/>
    <x v="1"/>
    <x v="1"/>
    <x v="1"/>
    <x v="29"/>
    <x v="0"/>
    <s v="Workforce - C"/>
    <n v="2620.75"/>
    <s v=""/>
  </r>
  <r>
    <x v="32"/>
    <s v="0054z00000AAVA1E1Q"/>
    <x v="1"/>
    <x v="1"/>
    <x v="1"/>
    <x v="29"/>
    <x v="0"/>
    <s v="Workforce - B"/>
    <n v="1966.42"/>
    <s v=""/>
  </r>
  <r>
    <x v="32"/>
    <s v="0054z00000AAVA1E1Q"/>
    <x v="1"/>
    <x v="1"/>
    <x v="1"/>
    <x v="29"/>
    <x v="0"/>
    <s v="Workforce - A"/>
    <n v="1310.3800000000001"/>
    <s v=""/>
  </r>
  <r>
    <x v="32"/>
    <s v="0054z00000AAVA1E1Q"/>
    <x v="1"/>
    <x v="1"/>
    <x v="1"/>
    <x v="29"/>
    <x v="0"/>
    <s v="Workforce - A"/>
    <n v="1310.3800000000001"/>
    <s v=""/>
  </r>
  <r>
    <x v="33"/>
    <s v="0054z00000AAK9KyWm"/>
    <x v="1"/>
    <x v="0"/>
    <x v="1"/>
    <x v="29"/>
    <x v="0"/>
    <s v="Workforce - C"/>
    <n v="4861.82"/>
    <s v=""/>
  </r>
  <r>
    <x v="34"/>
    <s v="0054z00000AAVA1E0V"/>
    <x v="0"/>
    <x v="0"/>
    <x v="0"/>
    <x v="30"/>
    <x v="0"/>
    <s v="Workforce - C"/>
    <n v="16577.189999999999"/>
    <s v="Alice Chen"/>
  </r>
  <r>
    <x v="34"/>
    <s v="0054z00000AAVA1E0V"/>
    <x v="0"/>
    <x v="0"/>
    <x v="0"/>
    <x v="30"/>
    <x v="0"/>
    <s v="Workforce - C"/>
    <n v="33154.39"/>
    <s v="Alice Chen"/>
  </r>
  <r>
    <x v="34"/>
    <s v="0054z00000AAVA1E0V"/>
    <x v="0"/>
    <x v="0"/>
    <x v="0"/>
    <x v="30"/>
    <x v="0"/>
    <s v="Workforce - B"/>
    <n v="24865.79"/>
    <s v="Alice Chen"/>
  </r>
  <r>
    <x v="34"/>
    <s v="0054z00000AAVA1E0V"/>
    <x v="0"/>
    <x v="0"/>
    <x v="0"/>
    <x v="30"/>
    <x v="0"/>
    <s v="Workforce - A"/>
    <n v="16577.189999999999"/>
    <s v="Alice Chen"/>
  </r>
  <r>
    <x v="34"/>
    <s v="0054z00000AAVA1E0V"/>
    <x v="0"/>
    <x v="0"/>
    <x v="0"/>
    <x v="30"/>
    <x v="0"/>
    <s v="Workforce - A"/>
    <n v="16577.189999999999"/>
    <s v="Alice Chen"/>
  </r>
  <r>
    <x v="35"/>
    <s v="0054z00000AADAKaw6"/>
    <x v="2"/>
    <x v="1"/>
    <x v="1"/>
    <x v="31"/>
    <x v="0"/>
    <s v="Workforce - D"/>
    <n v="37237.51"/>
    <s v=""/>
  </r>
  <r>
    <x v="36"/>
    <s v="0054z00000AAPAKHPh"/>
    <x v="1"/>
    <x v="1"/>
    <x v="1"/>
    <x v="32"/>
    <x v="0"/>
    <s v="Workforce - C"/>
    <n v="4784.83"/>
    <s v=""/>
  </r>
  <r>
    <x v="36"/>
    <s v="0054z00000AAPAKHPh"/>
    <x v="1"/>
    <x v="1"/>
    <x v="1"/>
    <x v="32"/>
    <x v="0"/>
    <s v="Workforce - B"/>
    <n v="4784.83"/>
    <s v=""/>
  </r>
  <r>
    <x v="36"/>
    <s v="0054z00000AAPAKHPh"/>
    <x v="1"/>
    <x v="1"/>
    <x v="1"/>
    <x v="32"/>
    <x v="0"/>
    <s v="Workforce - A"/>
    <n v="1594.94"/>
    <s v=""/>
  </r>
  <r>
    <x v="36"/>
    <s v="0054z00000AAPAKHPh"/>
    <x v="1"/>
    <x v="1"/>
    <x v="1"/>
    <x v="32"/>
    <x v="0"/>
    <s v="Workforce - A"/>
    <n v="1594.94"/>
    <s v=""/>
  </r>
  <r>
    <x v="37"/>
    <s v="0054z00000AAVA1E1U"/>
    <x v="1"/>
    <x v="1"/>
    <x v="1"/>
    <x v="33"/>
    <x v="0"/>
    <s v="Workforce - C"/>
    <n v="3990.77"/>
    <s v=""/>
  </r>
  <r>
    <x v="37"/>
    <s v="0054z00000AAVA1E1U"/>
    <x v="1"/>
    <x v="1"/>
    <x v="1"/>
    <x v="33"/>
    <x v="0"/>
    <s v="Workforce - B"/>
    <n v="5984.45"/>
    <s v=""/>
  </r>
  <r>
    <x v="37"/>
    <s v="0054z00000AAVA1E1U"/>
    <x v="1"/>
    <x v="1"/>
    <x v="1"/>
    <x v="33"/>
    <x v="0"/>
    <s v="Workforce - A"/>
    <n v="1995.38"/>
    <s v=""/>
  </r>
  <r>
    <x v="37"/>
    <s v="0054z00000AAVA1E1U"/>
    <x v="1"/>
    <x v="1"/>
    <x v="1"/>
    <x v="33"/>
    <x v="0"/>
    <s v="Workforce - A"/>
    <n v="1995.38"/>
    <s v=""/>
  </r>
  <r>
    <x v="38"/>
    <s v="0051Y00000QARBgp8N"/>
    <x v="1"/>
    <x v="0"/>
    <x v="0"/>
    <x v="34"/>
    <x v="0"/>
    <s v="Workforce - C"/>
    <n v="47669.74"/>
    <s v=""/>
  </r>
  <r>
    <x v="38"/>
    <s v="0051Y00000QARBgp8N"/>
    <x v="1"/>
    <x v="0"/>
    <x v="0"/>
    <x v="34"/>
    <x v="0"/>
    <s v="Workforce - C"/>
    <n v="95339.48"/>
    <s v=""/>
  </r>
  <r>
    <x v="38"/>
    <s v="0051Y00000QARBgp8N"/>
    <x v="1"/>
    <x v="0"/>
    <x v="0"/>
    <x v="34"/>
    <x v="0"/>
    <s v="Workforce - B"/>
    <n v="143009.22"/>
    <s v=""/>
  </r>
  <r>
    <x v="38"/>
    <s v="0051Y00000QARBgp8N"/>
    <x v="1"/>
    <x v="0"/>
    <x v="0"/>
    <x v="34"/>
    <x v="0"/>
    <s v="Workforce - A"/>
    <n v="47669.74"/>
    <s v=""/>
  </r>
  <r>
    <x v="38"/>
    <s v="0051Y00000QARBgp8N"/>
    <x v="1"/>
    <x v="0"/>
    <x v="0"/>
    <x v="34"/>
    <x v="0"/>
    <s v="Workforce - A"/>
    <n v="47669.74"/>
    <s v=""/>
  </r>
  <r>
    <x v="39"/>
    <s v="0054z00000AAVA1E0V"/>
    <x v="0"/>
    <x v="0"/>
    <x v="1"/>
    <x v="35"/>
    <x v="0"/>
    <s v="Workforce - C"/>
    <n v="10688.58"/>
    <s v="Alice Chen"/>
  </r>
  <r>
    <x v="39"/>
    <s v="0054z00000AAVA1E0V"/>
    <x v="0"/>
    <x v="0"/>
    <x v="1"/>
    <x v="35"/>
    <x v="0"/>
    <s v="Workforce - B"/>
    <n v="10688.58"/>
    <s v="Alice Chen"/>
  </r>
  <r>
    <x v="39"/>
    <s v="0054z00000AAVA1E0V"/>
    <x v="0"/>
    <x v="0"/>
    <x v="1"/>
    <x v="35"/>
    <x v="0"/>
    <s v="Workforce - A"/>
    <n v="3562.86"/>
    <s v="Alice Chen"/>
  </r>
  <r>
    <x v="39"/>
    <s v="0054z00000AAVA1E0V"/>
    <x v="0"/>
    <x v="0"/>
    <x v="1"/>
    <x v="35"/>
    <x v="0"/>
    <s v="Workforce - A"/>
    <n v="1781.43"/>
    <s v="Alice Chen"/>
  </r>
  <r>
    <x v="40"/>
    <s v="0054z00000AAQ985lY"/>
    <x v="1"/>
    <x v="0"/>
    <x v="1"/>
    <x v="36"/>
    <x v="0"/>
    <s v="Workforce - C"/>
    <n v="22882.3"/>
    <s v=""/>
  </r>
  <r>
    <x v="40"/>
    <s v="0054z00000AAQ985lY"/>
    <x v="1"/>
    <x v="0"/>
    <x v="1"/>
    <x v="36"/>
    <x v="0"/>
    <s v="Workforce - A"/>
    <n v="11439.09"/>
    <s v=""/>
  </r>
  <r>
    <x v="40"/>
    <s v="0054z00000AAQ985lY"/>
    <x v="1"/>
    <x v="0"/>
    <x v="1"/>
    <x v="36"/>
    <x v="0"/>
    <s v="Workforce - A"/>
    <n v="4037.08"/>
    <s v=""/>
  </r>
  <r>
    <x v="41"/>
    <s v="0054z00000AAE97J5t"/>
    <x v="2"/>
    <x v="0"/>
    <x v="1"/>
    <x v="37"/>
    <x v="0"/>
    <s v="Workforce - B"/>
    <n v="71257.19"/>
    <s v=""/>
  </r>
  <r>
    <x v="42"/>
    <s v="0051Y00000QARBei3T"/>
    <x v="1"/>
    <x v="1"/>
    <x v="1"/>
    <x v="38"/>
    <x v="0"/>
    <s v="Workforce - C"/>
    <n v="608.33000000000004"/>
    <s v=""/>
  </r>
  <r>
    <x v="42"/>
    <s v="0051Y00000QARBei3T"/>
    <x v="1"/>
    <x v="1"/>
    <x v="1"/>
    <x v="38"/>
    <x v="0"/>
    <s v="Workforce - B"/>
    <n v="1824.98"/>
    <s v=""/>
  </r>
  <r>
    <x v="42"/>
    <s v="0051Y00000QARBei3T"/>
    <x v="1"/>
    <x v="1"/>
    <x v="1"/>
    <x v="38"/>
    <x v="0"/>
    <s v="Workforce - A"/>
    <n v="1216.6600000000001"/>
    <s v=""/>
  </r>
  <r>
    <x v="42"/>
    <s v="0051Y00000QARBei3T"/>
    <x v="1"/>
    <x v="1"/>
    <x v="1"/>
    <x v="38"/>
    <x v="0"/>
    <s v="Workforce - A"/>
    <n v="608.33000000000004"/>
    <s v=""/>
  </r>
  <r>
    <x v="43"/>
    <s v="0054z00000AAFA1E0p"/>
    <x v="0"/>
    <x v="0"/>
    <x v="1"/>
    <x v="39"/>
    <x v="0"/>
    <s v="Workforce - B"/>
    <n v="85731.31"/>
    <s v="Bob Smith"/>
  </r>
  <r>
    <x v="43"/>
    <s v="0054z00000AAFA1E0p"/>
    <x v="0"/>
    <x v="0"/>
    <x v="1"/>
    <x v="39"/>
    <x v="0"/>
    <s v="Workforce - A"/>
    <n v="28577.1"/>
    <s v="Bob Smith"/>
  </r>
  <r>
    <x v="43"/>
    <s v="0054z00000AAFA1E0p"/>
    <x v="0"/>
    <x v="0"/>
    <x v="1"/>
    <x v="39"/>
    <x v="0"/>
    <s v="Workforce - A"/>
    <n v="28577.1"/>
    <s v="Bob Smith"/>
  </r>
  <r>
    <x v="44"/>
    <s v="0051Y00000QARBgp8N"/>
    <x v="1"/>
    <x v="0"/>
    <x v="1"/>
    <x v="40"/>
    <x v="0"/>
    <s v="Workforce - C"/>
    <n v="20082.32"/>
    <s v=""/>
  </r>
  <r>
    <x v="45"/>
    <s v="0054z00000AAFA1E0d"/>
    <x v="1"/>
    <x v="1"/>
    <x v="0"/>
    <x v="41"/>
    <x v="0"/>
    <s v="Workforce - C"/>
    <n v="9542.4"/>
    <s v=""/>
  </r>
  <r>
    <x v="45"/>
    <s v="0054z00000AAFA1E0d"/>
    <x v="1"/>
    <x v="1"/>
    <x v="0"/>
    <x v="41"/>
    <x v="0"/>
    <s v="Workforce - B"/>
    <n v="7156.8"/>
    <s v=""/>
  </r>
  <r>
    <x v="45"/>
    <s v="0054z00000AAFA1E0d"/>
    <x v="1"/>
    <x v="1"/>
    <x v="0"/>
    <x v="41"/>
    <x v="0"/>
    <s v="Workforce - A"/>
    <n v="4771.2"/>
    <s v=""/>
  </r>
  <r>
    <x v="45"/>
    <s v="0054z00000AAFA1E0d"/>
    <x v="1"/>
    <x v="1"/>
    <x v="0"/>
    <x v="41"/>
    <x v="0"/>
    <s v="Workforce - A"/>
    <n v="4771.2"/>
    <s v=""/>
  </r>
  <r>
    <x v="46"/>
    <s v="0054z00000AAU9yY6Y"/>
    <x v="1"/>
    <x v="1"/>
    <x v="1"/>
    <x v="42"/>
    <x v="1"/>
    <s v="CIAM - A"/>
    <n v="22925.62"/>
    <s v=""/>
  </r>
  <r>
    <x v="46"/>
    <s v="0054z00000AAU9yY6Y"/>
    <x v="1"/>
    <x v="1"/>
    <x v="1"/>
    <x v="42"/>
    <x v="1"/>
    <s v="CIAM - A"/>
    <n v="6076.46"/>
    <s v=""/>
  </r>
  <r>
    <x v="47"/>
    <s v="0051Y00000QARBei3T"/>
    <x v="1"/>
    <x v="1"/>
    <x v="1"/>
    <x v="43"/>
    <x v="0"/>
    <s v="Workforce - B"/>
    <n v="21259.1"/>
    <s v=""/>
  </r>
  <r>
    <x v="48"/>
    <s v="0054z00000AAFA1E0p"/>
    <x v="0"/>
    <x v="0"/>
    <x v="1"/>
    <x v="44"/>
    <x v="1"/>
    <s v="CIAM - A"/>
    <n v="37154.36"/>
    <s v="Bob Smith"/>
  </r>
  <r>
    <x v="48"/>
    <s v="0054z00000AAFA1E0p"/>
    <x v="0"/>
    <x v="0"/>
    <x v="1"/>
    <x v="44"/>
    <x v="1"/>
    <s v="CIAM - A"/>
    <n v="17484.400000000001"/>
    <s v="Bob Smith"/>
  </r>
  <r>
    <x v="49"/>
    <s v="0054z00000AAVA1E0S"/>
    <x v="0"/>
    <x v="0"/>
    <x v="0"/>
    <x v="45"/>
    <x v="0"/>
    <s v="Workforce - C"/>
    <n v="31010.07"/>
    <s v="Ian Wright"/>
  </r>
  <r>
    <x v="49"/>
    <s v="0054z00000AAVA1E0S"/>
    <x v="0"/>
    <x v="0"/>
    <x v="0"/>
    <x v="45"/>
    <x v="0"/>
    <s v="Workforce - B"/>
    <n v="23257.56"/>
    <s v="Ian Wright"/>
  </r>
  <r>
    <x v="49"/>
    <s v="0054z00000AAVA1E0S"/>
    <x v="0"/>
    <x v="0"/>
    <x v="0"/>
    <x v="45"/>
    <x v="0"/>
    <s v="Workforce - A"/>
    <n v="15505.04"/>
    <s v="Ian Wright"/>
  </r>
  <r>
    <x v="49"/>
    <s v="0054z00000AAVA1E0S"/>
    <x v="0"/>
    <x v="0"/>
    <x v="0"/>
    <x v="45"/>
    <x v="0"/>
    <s v="Workforce - A"/>
    <n v="15505.04"/>
    <s v="Ian Wright"/>
  </r>
  <r>
    <x v="50"/>
    <s v="0054z00000AADAKaw6"/>
    <x v="2"/>
    <x v="1"/>
    <x v="0"/>
    <x v="46"/>
    <x v="0"/>
    <s v="Workforce - C"/>
    <n v="3408"/>
    <s v=""/>
  </r>
  <r>
    <x v="50"/>
    <s v="0054z00000AADAKaw6"/>
    <x v="2"/>
    <x v="1"/>
    <x v="0"/>
    <x v="46"/>
    <x v="0"/>
    <s v="Workforce - C"/>
    <n v="6816"/>
    <s v=""/>
  </r>
  <r>
    <x v="50"/>
    <s v="0054z00000AADAKaw6"/>
    <x v="2"/>
    <x v="1"/>
    <x v="0"/>
    <x v="46"/>
    <x v="0"/>
    <s v="Workforce - B"/>
    <n v="5112"/>
    <s v=""/>
  </r>
  <r>
    <x v="50"/>
    <s v="0054z00000AADAKaw6"/>
    <x v="2"/>
    <x v="1"/>
    <x v="0"/>
    <x v="46"/>
    <x v="0"/>
    <s v="Workforce - A"/>
    <n v="3408"/>
    <s v=""/>
  </r>
  <r>
    <x v="50"/>
    <s v="0054z00000AADAKaw6"/>
    <x v="2"/>
    <x v="1"/>
    <x v="0"/>
    <x v="46"/>
    <x v="0"/>
    <s v="Workforce - A"/>
    <n v="3408"/>
    <s v=""/>
  </r>
  <r>
    <x v="51"/>
    <s v="0051Y00000QANBgSQz"/>
    <x v="1"/>
    <x v="1"/>
    <x v="0"/>
    <x v="47"/>
    <x v="0"/>
    <s v="Workforce - B"/>
    <n v="23924.16"/>
    <s v=""/>
  </r>
  <r>
    <x v="51"/>
    <s v="0051Y00000QANBgSQz"/>
    <x v="1"/>
    <x v="1"/>
    <x v="0"/>
    <x v="47"/>
    <x v="0"/>
    <s v="Workforce - A"/>
    <n v="15284.88"/>
    <s v=""/>
  </r>
  <r>
    <x v="51"/>
    <s v="0051Y00000QANBgSQz"/>
    <x v="1"/>
    <x v="1"/>
    <x v="0"/>
    <x v="47"/>
    <x v="0"/>
    <s v="Workforce - A"/>
    <n v="15284.88"/>
    <s v=""/>
  </r>
  <r>
    <x v="52"/>
    <s v="0054z00000AAVA1E1X"/>
    <x v="1"/>
    <x v="0"/>
    <x v="1"/>
    <x v="48"/>
    <x v="0"/>
    <s v="Workforce - C"/>
    <n v="38449.19"/>
    <s v=""/>
  </r>
  <r>
    <x v="53"/>
    <s v="0054z00000AADAKaw6"/>
    <x v="2"/>
    <x v="1"/>
    <x v="1"/>
    <x v="49"/>
    <x v="0"/>
    <s v="Workforce - A"/>
    <n v="5509.03"/>
    <s v=""/>
  </r>
  <r>
    <x v="53"/>
    <s v="0054z00000AADAKaw6"/>
    <x v="2"/>
    <x v="1"/>
    <x v="1"/>
    <x v="49"/>
    <x v="0"/>
    <s v="Workforce - A"/>
    <n v="2717.88"/>
    <s v=""/>
  </r>
  <r>
    <x v="54"/>
    <s v="0054z00000AAY98dRX"/>
    <x v="1"/>
    <x v="1"/>
    <x v="0"/>
    <x v="50"/>
    <x v="1"/>
    <s v="CIAM - A"/>
    <n v="104370"/>
    <s v=""/>
  </r>
  <r>
    <x v="54"/>
    <s v="0054z00000AAY98dRX"/>
    <x v="1"/>
    <x v="1"/>
    <x v="0"/>
    <x v="50"/>
    <x v="1"/>
    <s v="CIAM - A"/>
    <n v="3976"/>
    <s v=""/>
  </r>
  <r>
    <x v="54"/>
    <s v="0054z00000AAY98dRX"/>
    <x v="1"/>
    <x v="1"/>
    <x v="0"/>
    <x v="50"/>
    <x v="1"/>
    <s v="CIAM - A"/>
    <n v="20874"/>
    <s v=""/>
  </r>
  <r>
    <x v="55"/>
    <s v="0054z00000AAFA1E0i"/>
    <x v="1"/>
    <x v="1"/>
    <x v="1"/>
    <x v="51"/>
    <x v="0"/>
    <s v="Workforce - C"/>
    <n v="-879.26"/>
    <s v="Edward Nygma"/>
  </r>
  <r>
    <x v="55"/>
    <s v="0054z00000AAFA1E0i"/>
    <x v="1"/>
    <x v="1"/>
    <x v="1"/>
    <x v="51"/>
    <x v="0"/>
    <s v="Workforce - A"/>
    <n v="3958.39"/>
    <s v="Edward Nygma"/>
  </r>
  <r>
    <x v="56"/>
    <s v="0054z00000AAS9Iy8C"/>
    <x v="0"/>
    <x v="0"/>
    <x v="1"/>
    <x v="2"/>
    <x v="0"/>
    <s v="Workforce - C"/>
    <n v="22102.92"/>
    <s v=""/>
  </r>
  <r>
    <x v="56"/>
    <s v="0054z00000AAS9Iy8C"/>
    <x v="0"/>
    <x v="0"/>
    <x v="1"/>
    <x v="2"/>
    <x v="0"/>
    <s v="Workforce - B"/>
    <n v="11051.46"/>
    <s v=""/>
  </r>
  <r>
    <x v="56"/>
    <s v="0054z00000AAS9Iy8C"/>
    <x v="0"/>
    <x v="0"/>
    <x v="1"/>
    <x v="2"/>
    <x v="0"/>
    <s v="Workforce - A"/>
    <n v="7369.02"/>
    <s v=""/>
  </r>
  <r>
    <x v="56"/>
    <s v="0054z00000AAS9Iy8C"/>
    <x v="0"/>
    <x v="0"/>
    <x v="1"/>
    <x v="2"/>
    <x v="0"/>
    <s v="Workforce - A"/>
    <n v="3682.45"/>
    <s v=""/>
  </r>
  <r>
    <x v="57"/>
    <s v="0054z00000AAU9yY6Y"/>
    <x v="1"/>
    <x v="1"/>
    <x v="1"/>
    <x v="52"/>
    <x v="0"/>
    <s v="Workforce - C"/>
    <n v="22644.46"/>
    <s v=""/>
  </r>
  <r>
    <x v="57"/>
    <s v="0054z00000AAU9yY6Y"/>
    <x v="1"/>
    <x v="1"/>
    <x v="1"/>
    <x v="52"/>
    <x v="0"/>
    <s v="Workforce - A"/>
    <n v="6096.91"/>
    <s v=""/>
  </r>
  <r>
    <x v="57"/>
    <s v="0054z00000AAU9yY6Y"/>
    <x v="1"/>
    <x v="1"/>
    <x v="1"/>
    <x v="52"/>
    <x v="0"/>
    <s v="Workforce - A"/>
    <n v="3048.46"/>
    <s v=""/>
  </r>
  <r>
    <x v="58"/>
    <s v="0051Y00000QAVBgScR"/>
    <x v="0"/>
    <x v="1"/>
    <x v="0"/>
    <x v="53"/>
    <x v="0"/>
    <s v="Workforce - C"/>
    <n v="434.52"/>
    <s v="Charlie Day"/>
  </r>
  <r>
    <x v="58"/>
    <s v="0051Y00000QAVBgScR"/>
    <x v="0"/>
    <x v="1"/>
    <x v="0"/>
    <x v="53"/>
    <x v="0"/>
    <s v="Workforce - B"/>
    <n v="2607.12"/>
    <s v="Charlie Day"/>
  </r>
  <r>
    <x v="58"/>
    <s v="0051Y00000QAVBgScR"/>
    <x v="0"/>
    <x v="1"/>
    <x v="0"/>
    <x v="53"/>
    <x v="0"/>
    <s v="Workforce - A"/>
    <n v="869.04"/>
    <s v="Charlie Day"/>
  </r>
  <r>
    <x v="58"/>
    <s v="0051Y00000QAVBgScR"/>
    <x v="0"/>
    <x v="1"/>
    <x v="0"/>
    <x v="53"/>
    <x v="0"/>
    <s v="Workforce - A"/>
    <n v="869.04"/>
    <s v="Charlie Day"/>
  </r>
  <r>
    <x v="59"/>
    <s v="0054z00000AA29aDWI"/>
    <x v="1"/>
    <x v="1"/>
    <x v="1"/>
    <x v="54"/>
    <x v="0"/>
    <s v="Workforce - B"/>
    <n v="15826.75"/>
    <s v=""/>
  </r>
  <r>
    <x v="59"/>
    <s v="0054z00000AA29aDWI"/>
    <x v="1"/>
    <x v="1"/>
    <x v="1"/>
    <x v="54"/>
    <x v="0"/>
    <s v="Workforce - A"/>
    <n v="10551.17"/>
    <s v=""/>
  </r>
  <r>
    <x v="59"/>
    <s v="0054z00000AA29aDWI"/>
    <x v="1"/>
    <x v="1"/>
    <x v="1"/>
    <x v="54"/>
    <x v="0"/>
    <s v="Workforce - A"/>
    <n v="5275.58"/>
    <s v=""/>
  </r>
  <r>
    <x v="60"/>
    <s v="0054z00000AAFA1E15"/>
    <x v="1"/>
    <x v="1"/>
    <x v="0"/>
    <x v="55"/>
    <x v="0"/>
    <s v="Workforce - A"/>
    <n v="8520"/>
    <s v=""/>
  </r>
  <r>
    <x v="61"/>
    <s v="0054z00000AAFA1E0f"/>
    <x v="1"/>
    <x v="1"/>
    <x v="1"/>
    <x v="56"/>
    <x v="0"/>
    <s v="Workforce - C"/>
    <n v="3067.2"/>
    <s v=""/>
  </r>
  <r>
    <x v="61"/>
    <s v="0054z00000AAFA1E0f"/>
    <x v="1"/>
    <x v="1"/>
    <x v="1"/>
    <x v="56"/>
    <x v="0"/>
    <s v="Workforce - B"/>
    <n v="3834"/>
    <s v=""/>
  </r>
  <r>
    <x v="61"/>
    <s v="0054z00000AAFA1E0f"/>
    <x v="1"/>
    <x v="1"/>
    <x v="1"/>
    <x v="56"/>
    <x v="0"/>
    <s v="Workforce - A"/>
    <n v="1533.6"/>
    <s v=""/>
  </r>
  <r>
    <x v="61"/>
    <s v="0054z00000AAFA1E0f"/>
    <x v="1"/>
    <x v="1"/>
    <x v="1"/>
    <x v="56"/>
    <x v="0"/>
    <s v="Workforce - A"/>
    <n v="766.8"/>
    <s v=""/>
  </r>
  <r>
    <x v="62"/>
    <s v="0054z00000AAVA1UwD"/>
    <x v="0"/>
    <x v="0"/>
    <x v="1"/>
    <x v="57"/>
    <x v="0"/>
    <s v="Workforce - C"/>
    <n v="9657.66"/>
    <s v="George Bluth"/>
  </r>
  <r>
    <x v="62"/>
    <s v="0054z00000AAVA1UwD"/>
    <x v="0"/>
    <x v="0"/>
    <x v="1"/>
    <x v="57"/>
    <x v="0"/>
    <s v="Workforce - B"/>
    <n v="7241.18"/>
    <s v="George Bluth"/>
  </r>
  <r>
    <x v="62"/>
    <s v="0054z00000AAVA1UwD"/>
    <x v="0"/>
    <x v="0"/>
    <x v="1"/>
    <x v="57"/>
    <x v="0"/>
    <s v="Workforce - A"/>
    <n v="4828.83"/>
    <s v="George Bluth"/>
  </r>
  <r>
    <x v="62"/>
    <s v="0054z00000AAVA1UwD"/>
    <x v="0"/>
    <x v="0"/>
    <x v="1"/>
    <x v="57"/>
    <x v="0"/>
    <s v="Workforce - A"/>
    <n v="2412.35"/>
    <s v="George Bluth"/>
  </r>
  <r>
    <x v="63"/>
    <s v="0054z00000AAFA1E0p"/>
    <x v="0"/>
    <x v="0"/>
    <x v="1"/>
    <x v="58"/>
    <x v="0"/>
    <s v="Workforce - C"/>
    <n v="13315.36"/>
    <s v="Bob Smith"/>
  </r>
  <r>
    <x v="63"/>
    <s v="0054z00000AAFA1E0p"/>
    <x v="0"/>
    <x v="0"/>
    <x v="1"/>
    <x v="58"/>
    <x v="0"/>
    <s v="Workforce - B"/>
    <n v="14799.89"/>
    <s v="Bob Smith"/>
  </r>
  <r>
    <x v="63"/>
    <s v="0054z00000AAFA1E0p"/>
    <x v="0"/>
    <x v="0"/>
    <x v="1"/>
    <x v="58"/>
    <x v="0"/>
    <s v="Workforce - A"/>
    <n v="3327.81"/>
    <s v="Bob Smith"/>
  </r>
  <r>
    <x v="63"/>
    <s v="0054z00000AAFA1E0p"/>
    <x v="0"/>
    <x v="0"/>
    <x v="1"/>
    <x v="58"/>
    <x v="0"/>
    <s v="Workforce - A"/>
    <n v="1665.97"/>
    <s v="Bob Smith"/>
  </r>
  <r>
    <x v="64"/>
    <s v="0054z00000AAFA1E0k"/>
    <x v="1"/>
    <x v="0"/>
    <x v="1"/>
    <x v="59"/>
    <x v="0"/>
    <s v="Workforce - B"/>
    <n v="105046.62"/>
    <s v=""/>
  </r>
  <r>
    <x v="64"/>
    <s v="0054z00000AAFA1E0k"/>
    <x v="1"/>
    <x v="0"/>
    <x v="1"/>
    <x v="59"/>
    <x v="0"/>
    <s v="Workforce - A"/>
    <n v="32478.1"/>
    <s v=""/>
  </r>
  <r>
    <x v="64"/>
    <s v="0054z00000AAFA1E0k"/>
    <x v="1"/>
    <x v="0"/>
    <x v="1"/>
    <x v="59"/>
    <x v="0"/>
    <s v="Workforce - A"/>
    <n v="32478.1"/>
    <s v=""/>
  </r>
  <r>
    <x v="65"/>
    <s v="0051Y00000QARBgp8N"/>
    <x v="1"/>
    <x v="0"/>
    <x v="1"/>
    <x v="60"/>
    <x v="0"/>
    <s v="Workforce - C"/>
    <n v="17814.3"/>
    <s v=""/>
  </r>
  <r>
    <x v="65"/>
    <s v="0051Y00000QARBgp8N"/>
    <x v="1"/>
    <x v="0"/>
    <x v="1"/>
    <x v="60"/>
    <x v="0"/>
    <s v="Workforce - B"/>
    <n v="4230.8999999999996"/>
    <s v=""/>
  </r>
  <r>
    <x v="65"/>
    <s v="0051Y00000QARBgp8N"/>
    <x v="1"/>
    <x v="0"/>
    <x v="1"/>
    <x v="60"/>
    <x v="0"/>
    <s v="Workforce - A"/>
    <n v="5010.2700000000004"/>
    <s v=""/>
  </r>
  <r>
    <x v="65"/>
    <s v="0051Y00000QARBgp8N"/>
    <x v="1"/>
    <x v="0"/>
    <x v="1"/>
    <x v="60"/>
    <x v="0"/>
    <s v="Workforce - A"/>
    <n v="2226.79"/>
    <s v=""/>
  </r>
  <r>
    <x v="66"/>
    <s v="0051Y00000QARBgp8W"/>
    <x v="0"/>
    <x v="1"/>
    <x v="1"/>
    <x v="61"/>
    <x v="0"/>
    <s v="Workforce - C"/>
    <n v="305.02"/>
    <s v=""/>
  </r>
  <r>
    <x v="66"/>
    <s v="0051Y00000QARBgp8W"/>
    <x v="0"/>
    <x v="1"/>
    <x v="1"/>
    <x v="61"/>
    <x v="0"/>
    <s v="Workforce - A"/>
    <n v="608.33000000000004"/>
    <s v=""/>
  </r>
  <r>
    <x v="66"/>
    <s v="0051Y00000QARBgp8W"/>
    <x v="0"/>
    <x v="1"/>
    <x v="1"/>
    <x v="61"/>
    <x v="0"/>
    <s v="Workforce - A"/>
    <n v="305.02"/>
    <s v=""/>
  </r>
  <r>
    <x v="67"/>
    <s v="0054z00000AAVA1UwD"/>
    <x v="0"/>
    <x v="0"/>
    <x v="1"/>
    <x v="62"/>
    <x v="0"/>
    <s v="Workforce - B"/>
    <n v="120126.92"/>
    <s v="George Bluth"/>
  </r>
  <r>
    <x v="67"/>
    <s v="0054z00000AAVA1UwD"/>
    <x v="0"/>
    <x v="0"/>
    <x v="1"/>
    <x v="62"/>
    <x v="0"/>
    <s v="Workforce - A"/>
    <n v="47781.08"/>
    <s v="George Bluth"/>
  </r>
  <r>
    <x v="68"/>
    <s v="0054z00000AAVA1E1Q"/>
    <x v="1"/>
    <x v="1"/>
    <x v="0"/>
    <x v="61"/>
    <x v="0"/>
    <s v="Workforce - C"/>
    <n v="5538"/>
    <s v=""/>
  </r>
  <r>
    <x v="68"/>
    <s v="0054z00000AAVA1E1Q"/>
    <x v="1"/>
    <x v="1"/>
    <x v="0"/>
    <x v="61"/>
    <x v="0"/>
    <s v="Workforce - C"/>
    <n v="11076"/>
    <s v=""/>
  </r>
  <r>
    <x v="68"/>
    <s v="0054z00000AAVA1E1Q"/>
    <x v="1"/>
    <x v="1"/>
    <x v="0"/>
    <x v="61"/>
    <x v="0"/>
    <s v="Workforce - B"/>
    <n v="16614"/>
    <s v=""/>
  </r>
  <r>
    <x v="68"/>
    <s v="0054z00000AAVA1E1Q"/>
    <x v="1"/>
    <x v="1"/>
    <x v="0"/>
    <x v="61"/>
    <x v="0"/>
    <s v="Workforce - A"/>
    <n v="5538"/>
    <s v=""/>
  </r>
  <r>
    <x v="68"/>
    <s v="0054z00000AAVA1E1Q"/>
    <x v="1"/>
    <x v="1"/>
    <x v="0"/>
    <x v="61"/>
    <x v="0"/>
    <s v="Workforce - A"/>
    <n v="5538"/>
    <s v=""/>
  </r>
  <r>
    <x v="69"/>
    <s v="0051Y00000QARBgp8N"/>
    <x v="1"/>
    <x v="0"/>
    <x v="0"/>
    <x v="0"/>
    <x v="0"/>
    <s v="Workforce - B"/>
    <n v="2474.21"/>
    <s v=""/>
  </r>
  <r>
    <x v="69"/>
    <s v="0051Y00000QARBgp8N"/>
    <x v="1"/>
    <x v="0"/>
    <x v="0"/>
    <x v="0"/>
    <x v="0"/>
    <s v="Workforce - A"/>
    <n v="824.74"/>
    <s v=""/>
  </r>
  <r>
    <x v="69"/>
    <s v="0051Y00000QARBgp8N"/>
    <x v="1"/>
    <x v="0"/>
    <x v="0"/>
    <x v="0"/>
    <x v="0"/>
    <s v="Workforce - A"/>
    <n v="824.74"/>
    <s v=""/>
  </r>
  <r>
    <x v="70"/>
    <s v="0054z00000AA29aDWI"/>
    <x v="1"/>
    <x v="1"/>
    <x v="1"/>
    <x v="63"/>
    <x v="0"/>
    <s v="Workforce - C"/>
    <n v="22247.42"/>
    <s v=""/>
  </r>
  <r>
    <x v="71"/>
    <s v="0051Y00000QARBgp8N"/>
    <x v="1"/>
    <x v="0"/>
    <x v="1"/>
    <x v="64"/>
    <x v="1"/>
    <s v="CIAM - A"/>
    <n v="112844.5"/>
    <s v=""/>
  </r>
  <r>
    <x v="71"/>
    <s v="0051Y00000QARBgp8N"/>
    <x v="1"/>
    <x v="0"/>
    <x v="1"/>
    <x v="64"/>
    <x v="1"/>
    <s v="CIAM - A"/>
    <n v="64564.46"/>
    <s v=""/>
  </r>
  <r>
    <x v="71"/>
    <s v="0051Y00000QARBgp8N"/>
    <x v="1"/>
    <x v="0"/>
    <x v="1"/>
    <x v="64"/>
    <x v="1"/>
    <s v="CIAM - A"/>
    <n v="77756.11"/>
    <s v=""/>
  </r>
  <r>
    <x v="71"/>
    <s v="0051Y00000QARBgp8N"/>
    <x v="1"/>
    <x v="0"/>
    <x v="1"/>
    <x v="64"/>
    <x v="1"/>
    <s v="CIAM - A"/>
    <n v="16338.02"/>
    <s v=""/>
  </r>
  <r>
    <x v="72"/>
    <s v="0051Y00000QARBei3T"/>
    <x v="1"/>
    <x v="1"/>
    <x v="1"/>
    <x v="63"/>
    <x v="1"/>
    <s v="CIAM - A"/>
    <n v="12456.24"/>
    <s v=""/>
  </r>
  <r>
    <x v="72"/>
    <s v="0051Y00000QARBei3T"/>
    <x v="1"/>
    <x v="1"/>
    <x v="1"/>
    <x v="63"/>
    <x v="1"/>
    <s v="CIAM - A"/>
    <n v="5946.96"/>
    <s v=""/>
  </r>
  <r>
    <x v="73"/>
    <s v="0054z00000AAVA1E0V"/>
    <x v="0"/>
    <x v="0"/>
    <x v="0"/>
    <x v="65"/>
    <x v="1"/>
    <s v="CIAM - A"/>
    <n v="101030.16"/>
    <s v="Alice Chen"/>
  </r>
  <r>
    <x v="73"/>
    <s v="0054z00000AAVA1E0V"/>
    <x v="0"/>
    <x v="0"/>
    <x v="0"/>
    <x v="65"/>
    <x v="1"/>
    <s v="CIAM - A"/>
    <n v="13470.69"/>
    <s v="Alice Chen"/>
  </r>
  <r>
    <x v="73"/>
    <s v="0054z00000AAVA1E0V"/>
    <x v="0"/>
    <x v="0"/>
    <x v="0"/>
    <x v="65"/>
    <x v="1"/>
    <s v="CIAM - A"/>
    <n v="13470.69"/>
    <s v="Alice Chen"/>
  </r>
  <r>
    <x v="74"/>
    <s v="0054z00000AAQ9zzrE"/>
    <x v="2"/>
    <x v="1"/>
    <x v="1"/>
    <x v="66"/>
    <x v="0"/>
    <s v="Workforce - A"/>
    <n v="1226.8800000000001"/>
    <s v=""/>
  </r>
  <r>
    <x v="75"/>
    <s v="0054z00000AAFA1E15"/>
    <x v="1"/>
    <x v="1"/>
    <x v="1"/>
    <x v="67"/>
    <x v="0"/>
    <s v="Workforce - C"/>
    <n v="613.44000000000005"/>
    <s v=""/>
  </r>
  <r>
    <x v="75"/>
    <s v="0054z00000AAFA1E15"/>
    <x v="1"/>
    <x v="1"/>
    <x v="1"/>
    <x v="67"/>
    <x v="0"/>
    <s v="Workforce - B"/>
    <n v="3581.81"/>
    <s v=""/>
  </r>
  <r>
    <x v="75"/>
    <s v="0054z00000AAFA1E15"/>
    <x v="1"/>
    <x v="1"/>
    <x v="1"/>
    <x v="67"/>
    <x v="0"/>
    <s v="Workforce - A"/>
    <n v="1226.8800000000001"/>
    <s v=""/>
  </r>
  <r>
    <x v="75"/>
    <s v="0054z00000AAFA1E15"/>
    <x v="1"/>
    <x v="1"/>
    <x v="1"/>
    <x v="67"/>
    <x v="0"/>
    <s v="Workforce - A"/>
    <n v="613.44000000000005"/>
    <s v=""/>
  </r>
  <r>
    <x v="76"/>
    <s v="0054z00000AAFA1E0i"/>
    <x v="1"/>
    <x v="1"/>
    <x v="1"/>
    <x v="68"/>
    <x v="0"/>
    <s v="Workforce - D"/>
    <n v="30672"/>
    <s v="Edward Nygma"/>
  </r>
  <r>
    <x v="77"/>
    <s v="0054z00000AAVA1E0V"/>
    <x v="0"/>
    <x v="0"/>
    <x v="0"/>
    <x v="69"/>
    <x v="0"/>
    <s v="Workforce - B"/>
    <n v="37113.120000000003"/>
    <s v="Alice Chen"/>
  </r>
  <r>
    <x v="77"/>
    <s v="0054z00000AAVA1E0V"/>
    <x v="0"/>
    <x v="0"/>
    <x v="0"/>
    <x v="69"/>
    <x v="0"/>
    <s v="Workforce - A"/>
    <n v="12371.04"/>
    <s v="Alice Chen"/>
  </r>
  <r>
    <x v="77"/>
    <s v="0054z00000AAVA1E0V"/>
    <x v="0"/>
    <x v="0"/>
    <x v="0"/>
    <x v="69"/>
    <x v="0"/>
    <s v="Workforce - A"/>
    <n v="12371.04"/>
    <s v="Alice Chen"/>
  </r>
  <r>
    <x v="78"/>
    <s v="0054z00000AAPAKIS3"/>
    <x v="1"/>
    <x v="0"/>
    <x v="1"/>
    <x v="70"/>
    <x v="0"/>
    <s v="Workforce - C"/>
    <n v="49364.57"/>
    <s v=""/>
  </r>
  <r>
    <x v="79"/>
    <s v="0054z00000AADAKaw6"/>
    <x v="2"/>
    <x v="1"/>
    <x v="1"/>
    <x v="32"/>
    <x v="0"/>
    <s v="Workforce - C"/>
    <n v="654.34"/>
    <s v=""/>
  </r>
  <r>
    <x v="79"/>
    <s v="0054z00000AADAKaw6"/>
    <x v="2"/>
    <x v="1"/>
    <x v="1"/>
    <x v="32"/>
    <x v="0"/>
    <s v="Workforce - B"/>
    <n v="981.5"/>
    <s v=""/>
  </r>
  <r>
    <x v="79"/>
    <s v="0054z00000AADAKaw6"/>
    <x v="2"/>
    <x v="1"/>
    <x v="1"/>
    <x v="32"/>
    <x v="0"/>
    <s v="Workforce - A"/>
    <n v="327.17"/>
    <s v=""/>
  </r>
  <r>
    <x v="79"/>
    <s v="0054z00000AADAKaw6"/>
    <x v="2"/>
    <x v="1"/>
    <x v="1"/>
    <x v="32"/>
    <x v="0"/>
    <s v="Workforce - A"/>
    <n v="327.17"/>
    <s v=""/>
  </r>
  <r>
    <x v="80"/>
    <s v="0054z00000AAFA1Iw7"/>
    <x v="1"/>
    <x v="1"/>
    <x v="1"/>
    <x v="71"/>
    <x v="0"/>
    <s v="Workforce - B"/>
    <n v="6183.82"/>
    <s v=""/>
  </r>
  <r>
    <x v="81"/>
    <s v="0054z00000AAVA1UwC"/>
    <x v="0"/>
    <x v="1"/>
    <x v="1"/>
    <x v="72"/>
    <x v="0"/>
    <s v="Workforce - C"/>
    <n v="4992.72"/>
    <s v="Fiona Gallagher"/>
  </r>
  <r>
    <x v="81"/>
    <s v="0054z00000AAVA1UwC"/>
    <x v="0"/>
    <x v="1"/>
    <x v="1"/>
    <x v="72"/>
    <x v="0"/>
    <s v="Workforce - B"/>
    <n v="3745.39"/>
    <s v="Fiona Gallagher"/>
  </r>
  <r>
    <x v="81"/>
    <s v="0054z00000AAVA1UwC"/>
    <x v="0"/>
    <x v="1"/>
    <x v="1"/>
    <x v="72"/>
    <x v="0"/>
    <s v="Workforce - A"/>
    <n v="2496.36"/>
    <s v="Fiona Gallagher"/>
  </r>
  <r>
    <x v="81"/>
    <s v="0054z00000AAVA1UwC"/>
    <x v="0"/>
    <x v="1"/>
    <x v="1"/>
    <x v="72"/>
    <x v="0"/>
    <s v="Workforce - A"/>
    <n v="2496.36"/>
    <s v="Fiona Gallagher"/>
  </r>
  <r>
    <x v="82"/>
    <s v="0054z00000AAVA1E0S"/>
    <x v="0"/>
    <x v="0"/>
    <x v="1"/>
    <x v="32"/>
    <x v="0"/>
    <s v="Workforce - C"/>
    <n v="15748.33"/>
    <s v="Ian Wright"/>
  </r>
  <r>
    <x v="82"/>
    <s v="0054z00000AAVA1E0S"/>
    <x v="0"/>
    <x v="0"/>
    <x v="1"/>
    <x v="32"/>
    <x v="0"/>
    <s v="Workforce - C"/>
    <n v="31492.54"/>
    <s v="Ian Wright"/>
  </r>
  <r>
    <x v="82"/>
    <s v="0054z00000AAVA1E0S"/>
    <x v="0"/>
    <x v="0"/>
    <x v="1"/>
    <x v="32"/>
    <x v="0"/>
    <s v="Workforce - B"/>
    <n v="47240.88"/>
    <s v="Ian Wright"/>
  </r>
  <r>
    <x v="82"/>
    <s v="0054z00000AAVA1E0S"/>
    <x v="0"/>
    <x v="0"/>
    <x v="1"/>
    <x v="32"/>
    <x v="0"/>
    <s v="Workforce - A"/>
    <n v="15748.33"/>
    <s v="Ian Wright"/>
  </r>
  <r>
    <x v="82"/>
    <s v="0054z00000AAVA1E0S"/>
    <x v="0"/>
    <x v="0"/>
    <x v="1"/>
    <x v="32"/>
    <x v="0"/>
    <s v="Workforce - A"/>
    <n v="15748.33"/>
    <s v="Ian Wright"/>
  </r>
  <r>
    <x v="83"/>
    <s v="0054z00000AAU9yY6Y"/>
    <x v="1"/>
    <x v="1"/>
    <x v="1"/>
    <x v="73"/>
    <x v="0"/>
    <s v="Workforce - A"/>
    <n v="7228.37"/>
    <s v=""/>
  </r>
  <r>
    <x v="83"/>
    <s v="0054z00000AAU9yY6Y"/>
    <x v="1"/>
    <x v="1"/>
    <x v="1"/>
    <x v="73"/>
    <x v="0"/>
    <s v="Workforce - A"/>
    <n v="7228.37"/>
    <s v=""/>
  </r>
  <r>
    <x v="84"/>
    <s v="0054z00000AAU9yY6Y"/>
    <x v="1"/>
    <x v="1"/>
    <x v="1"/>
    <x v="69"/>
    <x v="0"/>
    <s v="Workforce - B"/>
    <n v="15336"/>
    <s v=""/>
  </r>
  <r>
    <x v="85"/>
    <s v="0054z00000AAU9yY6Y"/>
    <x v="1"/>
    <x v="1"/>
    <x v="1"/>
    <x v="74"/>
    <x v="0"/>
    <s v="Workforce - B"/>
    <n v="24537.599999999999"/>
    <s v=""/>
  </r>
  <r>
    <x v="85"/>
    <s v="0054z00000AAU9yY6Y"/>
    <x v="1"/>
    <x v="1"/>
    <x v="1"/>
    <x v="74"/>
    <x v="0"/>
    <s v="Workforce - A"/>
    <n v="16358.4"/>
    <s v=""/>
  </r>
  <r>
    <x v="85"/>
    <s v="0054z00000AAU9yY6Y"/>
    <x v="1"/>
    <x v="1"/>
    <x v="1"/>
    <x v="74"/>
    <x v="0"/>
    <s v="Workforce - A"/>
    <n v="16358.4"/>
    <s v=""/>
  </r>
  <r>
    <x v="86"/>
    <s v="0051Y00000QARBei3T"/>
    <x v="1"/>
    <x v="1"/>
    <x v="0"/>
    <x v="31"/>
    <x v="0"/>
    <s v="Workforce - C"/>
    <n v="9678.7199999999993"/>
    <s v=""/>
  </r>
  <r>
    <x v="86"/>
    <s v="0051Y00000QARBei3T"/>
    <x v="1"/>
    <x v="1"/>
    <x v="0"/>
    <x v="31"/>
    <x v="0"/>
    <s v="Workforce - C"/>
    <n v="29036.16"/>
    <s v=""/>
  </r>
  <r>
    <x v="86"/>
    <s v="0051Y00000QARBei3T"/>
    <x v="1"/>
    <x v="1"/>
    <x v="0"/>
    <x v="31"/>
    <x v="0"/>
    <s v="Workforce - A"/>
    <n v="9678.7199999999993"/>
    <s v=""/>
  </r>
  <r>
    <x v="86"/>
    <s v="0051Y00000QARBei3T"/>
    <x v="1"/>
    <x v="1"/>
    <x v="0"/>
    <x v="31"/>
    <x v="0"/>
    <s v="Workforce - A"/>
    <n v="9678.7199999999993"/>
    <s v=""/>
  </r>
  <r>
    <x v="87"/>
    <s v="0054z00000AAU9yY6Y"/>
    <x v="1"/>
    <x v="1"/>
    <x v="1"/>
    <x v="75"/>
    <x v="0"/>
    <s v="Workforce - C"/>
    <n v="9406.08"/>
    <s v=""/>
  </r>
  <r>
    <x v="88"/>
    <s v="0054z00000AABA18jp"/>
    <x v="2"/>
    <x v="0"/>
    <x v="1"/>
    <x v="76"/>
    <x v="0"/>
    <s v="Workforce - C"/>
    <n v="41566.69"/>
    <s v="Hannah Abbott"/>
  </r>
  <r>
    <x v="88"/>
    <s v="0054z00000AABA18jp"/>
    <x v="2"/>
    <x v="0"/>
    <x v="1"/>
    <x v="76"/>
    <x v="0"/>
    <s v="Workforce - B"/>
    <n v="31175.02"/>
    <s v="Hannah Abbott"/>
  </r>
  <r>
    <x v="88"/>
    <s v="0054z00000AABA18jp"/>
    <x v="2"/>
    <x v="0"/>
    <x v="1"/>
    <x v="76"/>
    <x v="0"/>
    <s v="Workforce - A"/>
    <n v="10391.67"/>
    <s v="Hannah Abbott"/>
  </r>
  <r>
    <x v="88"/>
    <s v="0054z00000AABA18jp"/>
    <x v="2"/>
    <x v="0"/>
    <x v="1"/>
    <x v="76"/>
    <x v="0"/>
    <s v="Workforce - A"/>
    <n v="5195.84"/>
    <s v="Hannah Abbott"/>
  </r>
  <r>
    <x v="89"/>
    <s v="0054z00000AAQ95znP"/>
    <x v="1"/>
    <x v="0"/>
    <x v="1"/>
    <x v="77"/>
    <x v="1"/>
    <s v="CIAM - A"/>
    <n v="46185.22"/>
    <s v=""/>
  </r>
  <r>
    <x v="89"/>
    <s v="0054z00000AAQ95znP"/>
    <x v="1"/>
    <x v="0"/>
    <x v="1"/>
    <x v="77"/>
    <x v="1"/>
    <s v="CIAM - A"/>
    <n v="189689.28"/>
    <s v=""/>
  </r>
  <r>
    <x v="89"/>
    <s v="0054z00000AAQ95znP"/>
    <x v="1"/>
    <x v="0"/>
    <x v="1"/>
    <x v="77"/>
    <x v="1"/>
    <s v="CIAM - A"/>
    <n v="134535.06"/>
    <s v=""/>
  </r>
  <r>
    <x v="89"/>
    <s v="0054z00000AAQ95znP"/>
    <x v="1"/>
    <x v="0"/>
    <x v="1"/>
    <x v="77"/>
    <x v="1"/>
    <s v="CIAM - A"/>
    <n v="86597.28"/>
    <s v=""/>
  </r>
  <r>
    <x v="89"/>
    <s v="0054z00000AAQ95znP"/>
    <x v="1"/>
    <x v="0"/>
    <x v="1"/>
    <x v="77"/>
    <x v="1"/>
    <s v="CIAM - A"/>
    <n v="13814.33"/>
    <s v=""/>
  </r>
  <r>
    <x v="89"/>
    <s v="0054z00000AAQ95znP"/>
    <x v="1"/>
    <x v="0"/>
    <x v="1"/>
    <x v="77"/>
    <x v="0"/>
    <s v="Workforce - E"/>
    <n v="9896.83"/>
    <s v=""/>
  </r>
  <r>
    <x v="90"/>
    <s v="0054z00000AALAIgV3"/>
    <x v="1"/>
    <x v="1"/>
    <x v="1"/>
    <x v="78"/>
    <x v="0"/>
    <s v="Workforce - C"/>
    <n v="16377.14"/>
    <s v=""/>
  </r>
  <r>
    <x v="91"/>
    <s v="0054z00000AAVA1E1W"/>
    <x v="1"/>
    <x v="1"/>
    <x v="0"/>
    <x v="79"/>
    <x v="0"/>
    <s v="Workforce - B"/>
    <n v="15949.44"/>
    <s v=""/>
  </r>
  <r>
    <x v="91"/>
    <s v="0054z00000AAVA1E1W"/>
    <x v="1"/>
    <x v="1"/>
    <x v="0"/>
    <x v="79"/>
    <x v="0"/>
    <s v="Workforce - A"/>
    <n v="5316.48"/>
    <s v=""/>
  </r>
  <r>
    <x v="91"/>
    <s v="0054z00000AAVA1E1W"/>
    <x v="1"/>
    <x v="1"/>
    <x v="0"/>
    <x v="79"/>
    <x v="0"/>
    <s v="Workforce - A"/>
    <n v="5316.48"/>
    <s v=""/>
  </r>
  <r>
    <x v="92"/>
    <s v="0054z00000AAFA1E0n"/>
    <x v="2"/>
    <x v="1"/>
    <x v="0"/>
    <x v="80"/>
    <x v="0"/>
    <s v="Workforce - A"/>
    <n v="1090.56"/>
    <s v=""/>
  </r>
  <r>
    <x v="92"/>
    <s v="0054z00000AAFA1E0n"/>
    <x v="2"/>
    <x v="1"/>
    <x v="0"/>
    <x v="80"/>
    <x v="0"/>
    <s v="Workforce - A"/>
    <n v="1090.56"/>
    <s v=""/>
  </r>
  <r>
    <x v="93"/>
    <s v="0054z00000AAFA1E0k"/>
    <x v="1"/>
    <x v="0"/>
    <x v="0"/>
    <x v="72"/>
    <x v="0"/>
    <s v="Workforce - C"/>
    <n v="22793.64"/>
    <s v=""/>
  </r>
  <r>
    <x v="93"/>
    <s v="0054z00000AAFA1E0k"/>
    <x v="1"/>
    <x v="0"/>
    <x v="0"/>
    <x v="72"/>
    <x v="0"/>
    <s v="Workforce - A"/>
    <n v="45583.85"/>
    <s v=""/>
  </r>
  <r>
    <x v="93"/>
    <s v="0054z00000AAFA1E0k"/>
    <x v="1"/>
    <x v="0"/>
    <x v="0"/>
    <x v="72"/>
    <x v="0"/>
    <s v="Workforce - A"/>
    <n v="40223.06"/>
    <s v=""/>
  </r>
  <r>
    <x v="94"/>
    <s v="0054z00000AAVA1E1Y"/>
    <x v="1"/>
    <x v="1"/>
    <x v="1"/>
    <x v="81"/>
    <x v="0"/>
    <s v="Workforce - B"/>
    <n v="7606.66"/>
    <s v=""/>
  </r>
  <r>
    <x v="94"/>
    <s v="0054z00000AAVA1E1Y"/>
    <x v="1"/>
    <x v="1"/>
    <x v="1"/>
    <x v="81"/>
    <x v="0"/>
    <s v="Workforce - A"/>
    <n v="2535.5500000000002"/>
    <s v=""/>
  </r>
  <r>
    <x v="94"/>
    <s v="0054z00000AAVA1E1Y"/>
    <x v="1"/>
    <x v="1"/>
    <x v="1"/>
    <x v="81"/>
    <x v="0"/>
    <s v="Workforce - A"/>
    <n v="1267.78"/>
    <s v=""/>
  </r>
  <r>
    <x v="95"/>
    <s v="0054z00000AAVA1UwD"/>
    <x v="0"/>
    <x v="0"/>
    <x v="1"/>
    <x v="82"/>
    <x v="0"/>
    <s v="Workforce - C"/>
    <n v="6329.85"/>
    <s v="George Bluth"/>
  </r>
  <r>
    <x v="95"/>
    <s v="0054z00000AAVA1UwD"/>
    <x v="0"/>
    <x v="0"/>
    <x v="1"/>
    <x v="82"/>
    <x v="0"/>
    <s v="Workforce - B"/>
    <n v="2766.99"/>
    <s v="George Bluth"/>
  </r>
  <r>
    <x v="95"/>
    <s v="0054z00000AAVA1UwD"/>
    <x v="0"/>
    <x v="0"/>
    <x v="1"/>
    <x v="82"/>
    <x v="0"/>
    <s v="Workforce - A"/>
    <n v="1847.41"/>
    <s v="George Bluth"/>
  </r>
  <r>
    <x v="95"/>
    <s v="0054z00000AAVA1UwD"/>
    <x v="0"/>
    <x v="0"/>
    <x v="1"/>
    <x v="82"/>
    <x v="0"/>
    <s v="Workforce - A"/>
    <n v="791.75"/>
    <s v="George Bluth"/>
  </r>
  <r>
    <x v="96"/>
    <s v="0054z00000AAY98dRX"/>
    <x v="1"/>
    <x v="1"/>
    <x v="1"/>
    <x v="72"/>
    <x v="0"/>
    <s v="Workforce - B"/>
    <n v="8342.7800000000007"/>
    <s v=""/>
  </r>
  <r>
    <x v="96"/>
    <s v="0054z00000AAY98dRX"/>
    <x v="1"/>
    <x v="1"/>
    <x v="1"/>
    <x v="72"/>
    <x v="0"/>
    <s v="Workforce - A"/>
    <n v="2780.93"/>
    <s v=""/>
  </r>
  <r>
    <x v="96"/>
    <s v="0054z00000AAY98dRX"/>
    <x v="1"/>
    <x v="1"/>
    <x v="1"/>
    <x v="72"/>
    <x v="0"/>
    <s v="Workforce - A"/>
    <n v="2780.93"/>
    <s v=""/>
  </r>
  <r>
    <x v="97"/>
    <s v="0054z00000AAFA1E0o"/>
    <x v="0"/>
    <x v="0"/>
    <x v="1"/>
    <x v="83"/>
    <x v="0"/>
    <s v="Workforce - C"/>
    <n v="6680.36"/>
    <s v=""/>
  </r>
  <r>
    <x v="97"/>
    <s v="0054z00000AAFA1E0o"/>
    <x v="0"/>
    <x v="0"/>
    <x v="1"/>
    <x v="83"/>
    <x v="0"/>
    <s v="Workforce - B"/>
    <n v="4008.22"/>
    <s v=""/>
  </r>
  <r>
    <x v="97"/>
    <s v="0054z00000AAFA1E0o"/>
    <x v="0"/>
    <x v="0"/>
    <x v="1"/>
    <x v="83"/>
    <x v="0"/>
    <s v="Workforce - A"/>
    <n v="2672.14"/>
    <s v=""/>
  </r>
  <r>
    <x v="97"/>
    <s v="0054z00000AAFA1E0o"/>
    <x v="0"/>
    <x v="0"/>
    <x v="1"/>
    <x v="83"/>
    <x v="0"/>
    <s v="Workforce - A"/>
    <n v="1336.07"/>
    <s v=""/>
  </r>
  <r>
    <x v="98"/>
    <s v="0051Y00000QARBgp8N"/>
    <x v="1"/>
    <x v="0"/>
    <x v="1"/>
    <x v="83"/>
    <x v="0"/>
    <s v="Workforce - B"/>
    <n v="41805.870000000003"/>
    <s v=""/>
  </r>
  <r>
    <x v="98"/>
    <s v="0051Y00000QARBgp8N"/>
    <x v="1"/>
    <x v="0"/>
    <x v="1"/>
    <x v="83"/>
    <x v="0"/>
    <s v="Workforce - A"/>
    <n v="13933.91"/>
    <s v=""/>
  </r>
  <r>
    <x v="98"/>
    <s v="0051Y00000QARBgp8N"/>
    <x v="1"/>
    <x v="0"/>
    <x v="1"/>
    <x v="83"/>
    <x v="0"/>
    <s v="Workforce - A"/>
    <n v="13933.91"/>
    <s v=""/>
  </r>
  <r>
    <x v="99"/>
    <s v="0054z00000AAVA1E1Q"/>
    <x v="1"/>
    <x v="1"/>
    <x v="0"/>
    <x v="84"/>
    <x v="0"/>
    <s v="Workforce - A"/>
    <n v="3834"/>
    <s v=""/>
  </r>
  <r>
    <x v="100"/>
    <s v="0054z00000AADAKaw6"/>
    <x v="2"/>
    <x v="1"/>
    <x v="1"/>
    <x v="85"/>
    <x v="0"/>
    <s v="Workforce - C"/>
    <n v="10162.66"/>
    <s v=""/>
  </r>
  <r>
    <x v="100"/>
    <s v="0054z00000AADAKaw6"/>
    <x v="2"/>
    <x v="1"/>
    <x v="1"/>
    <x v="85"/>
    <x v="0"/>
    <s v="Workforce - C"/>
    <n v="8710.85"/>
    <s v=""/>
  </r>
  <r>
    <x v="101"/>
    <s v="0054z00000AAFA1E0m"/>
    <x v="1"/>
    <x v="1"/>
    <x v="1"/>
    <x v="86"/>
    <x v="0"/>
    <s v="Workforce - B"/>
    <n v="7270.97"/>
    <s v=""/>
  </r>
  <r>
    <x v="102"/>
    <s v="0054z00000AAA998l9"/>
    <x v="1"/>
    <x v="0"/>
    <x v="1"/>
    <x v="87"/>
    <x v="0"/>
    <s v="Workforce - C"/>
    <n v="50053.23"/>
    <s v=""/>
  </r>
  <r>
    <x v="102"/>
    <s v="0054z00000AAA998l9"/>
    <x v="1"/>
    <x v="0"/>
    <x v="1"/>
    <x v="87"/>
    <x v="0"/>
    <s v="Workforce - B"/>
    <n v="37541.980000000003"/>
    <s v=""/>
  </r>
  <r>
    <x v="102"/>
    <s v="0054z00000AAA998l9"/>
    <x v="1"/>
    <x v="0"/>
    <x v="1"/>
    <x v="87"/>
    <x v="0"/>
    <s v="Workforce - A"/>
    <n v="12515.37"/>
    <s v=""/>
  </r>
  <r>
    <x v="102"/>
    <s v="0054z00000AAA998l9"/>
    <x v="1"/>
    <x v="0"/>
    <x v="1"/>
    <x v="87"/>
    <x v="0"/>
    <s v="Workforce - A"/>
    <n v="6255.62"/>
    <s v=""/>
  </r>
  <r>
    <x v="103"/>
    <s v="0054z00000AAVA1E0V"/>
    <x v="0"/>
    <x v="0"/>
    <x v="1"/>
    <x v="88"/>
    <x v="0"/>
    <s v="Workforce - C"/>
    <n v="3562.86"/>
    <s v="Alice Chen"/>
  </r>
  <r>
    <x v="103"/>
    <s v="0054z00000AAVA1E0V"/>
    <x v="0"/>
    <x v="0"/>
    <x v="1"/>
    <x v="88"/>
    <x v="0"/>
    <s v="Workforce - B"/>
    <n v="3562.86"/>
    <s v="Alice Chen"/>
  </r>
  <r>
    <x v="103"/>
    <s v="0054z00000AAVA1E0V"/>
    <x v="0"/>
    <x v="0"/>
    <x v="1"/>
    <x v="88"/>
    <x v="0"/>
    <s v="Workforce - A"/>
    <n v="1187.6199999999999"/>
    <s v="Alice Chen"/>
  </r>
  <r>
    <x v="103"/>
    <s v="0054z00000AAVA1E0V"/>
    <x v="0"/>
    <x v="0"/>
    <x v="1"/>
    <x v="88"/>
    <x v="0"/>
    <s v="Workforce - A"/>
    <n v="593.80999999999995"/>
    <s v="Alice Chen"/>
  </r>
  <r>
    <x v="104"/>
    <s v="0054z00000AAFA1E1h"/>
    <x v="1"/>
    <x v="1"/>
    <x v="0"/>
    <x v="89"/>
    <x v="0"/>
    <s v="Workforce - B"/>
    <n v="18721.28"/>
    <s v=""/>
  </r>
  <r>
    <x v="104"/>
    <s v="0054z00000AAFA1E1h"/>
    <x v="1"/>
    <x v="1"/>
    <x v="0"/>
    <x v="89"/>
    <x v="0"/>
    <s v="Workforce - A"/>
    <n v="12480.38"/>
    <s v=""/>
  </r>
  <r>
    <x v="104"/>
    <s v="0054z00000AAFA1E1h"/>
    <x v="1"/>
    <x v="1"/>
    <x v="0"/>
    <x v="89"/>
    <x v="0"/>
    <s v="Workforce - A"/>
    <n v="12480.38"/>
    <s v=""/>
  </r>
  <r>
    <x v="105"/>
    <s v="0054z00000AAFA1E0g"/>
    <x v="1"/>
    <x v="1"/>
    <x v="0"/>
    <x v="90"/>
    <x v="0"/>
    <s v="Workforce - B"/>
    <n v="34352.639999999999"/>
    <s v=""/>
  </r>
  <r>
    <x v="105"/>
    <s v="0054z00000AAFA1E0g"/>
    <x v="1"/>
    <x v="1"/>
    <x v="0"/>
    <x v="90"/>
    <x v="0"/>
    <s v="Workforce - A"/>
    <n v="11450.88"/>
    <s v=""/>
  </r>
  <r>
    <x v="105"/>
    <s v="0054z00000AAFA1E0g"/>
    <x v="1"/>
    <x v="1"/>
    <x v="0"/>
    <x v="90"/>
    <x v="0"/>
    <s v="Workforce - A"/>
    <n v="11450.88"/>
    <s v=""/>
  </r>
  <r>
    <x v="106"/>
    <s v="0054z00000AAFA1E0h"/>
    <x v="1"/>
    <x v="1"/>
    <x v="0"/>
    <x v="91"/>
    <x v="0"/>
    <s v="Workforce - C"/>
    <n v="1314.92"/>
    <s v=""/>
  </r>
  <r>
    <x v="106"/>
    <s v="0054z00000AAFA1E0h"/>
    <x v="1"/>
    <x v="1"/>
    <x v="0"/>
    <x v="91"/>
    <x v="0"/>
    <s v="Workforce - B"/>
    <n v="1314.92"/>
    <s v=""/>
  </r>
  <r>
    <x v="106"/>
    <s v="0054z00000AAFA1E0h"/>
    <x v="1"/>
    <x v="1"/>
    <x v="0"/>
    <x v="91"/>
    <x v="0"/>
    <s v="Workforce - A"/>
    <n v="438.78"/>
    <s v=""/>
  </r>
  <r>
    <x v="107"/>
    <s v="0054z00000AAFA1E16"/>
    <x v="1"/>
    <x v="1"/>
    <x v="1"/>
    <x v="92"/>
    <x v="0"/>
    <s v="Workforce - B"/>
    <n v="19244.98"/>
    <s v=""/>
  </r>
  <r>
    <x v="108"/>
    <s v="0054z00000AAVA1E0V"/>
    <x v="0"/>
    <x v="0"/>
    <x v="1"/>
    <x v="93"/>
    <x v="0"/>
    <s v="Workforce - E"/>
    <n v="22651.37"/>
    <s v="Alice Chen"/>
  </r>
  <r>
    <x v="109"/>
    <s v="0054z00000AAVA1UwE"/>
    <x v="1"/>
    <x v="0"/>
    <x v="1"/>
    <x v="94"/>
    <x v="0"/>
    <s v="Workforce - B"/>
    <n v="211990.14"/>
    <s v=""/>
  </r>
  <r>
    <x v="110"/>
    <s v="0054z00000AAFA1E0g"/>
    <x v="1"/>
    <x v="1"/>
    <x v="1"/>
    <x v="95"/>
    <x v="0"/>
    <s v="Workforce - C"/>
    <n v="4711.5600000000004"/>
    <s v=""/>
  </r>
  <r>
    <x v="110"/>
    <s v="0054z00000AAFA1E0g"/>
    <x v="1"/>
    <x v="1"/>
    <x v="1"/>
    <x v="95"/>
    <x v="0"/>
    <s v="Workforce - B"/>
    <n v="1939.15"/>
    <s v=""/>
  </r>
  <r>
    <x v="110"/>
    <s v="0054z00000AAFA1E0g"/>
    <x v="1"/>
    <x v="1"/>
    <x v="1"/>
    <x v="95"/>
    <x v="0"/>
    <s v="Workforce - A"/>
    <n v="1840.32"/>
    <s v=""/>
  </r>
  <r>
    <x v="110"/>
    <s v="0054z00000AAFA1E0g"/>
    <x v="1"/>
    <x v="1"/>
    <x v="1"/>
    <x v="95"/>
    <x v="0"/>
    <s v="Workforce - A"/>
    <n v="920.16"/>
    <s v=""/>
  </r>
  <r>
    <x v="111"/>
    <s v="0054z00000AAVA1E1V"/>
    <x v="1"/>
    <x v="1"/>
    <x v="0"/>
    <x v="96"/>
    <x v="0"/>
    <s v="Workforce - C"/>
    <n v="18648.86"/>
    <s v=""/>
  </r>
  <r>
    <x v="111"/>
    <s v="0054z00000AAVA1E1V"/>
    <x v="1"/>
    <x v="1"/>
    <x v="0"/>
    <x v="96"/>
    <x v="0"/>
    <s v="Workforce - C"/>
    <n v="55945.16"/>
    <s v=""/>
  </r>
  <r>
    <x v="111"/>
    <s v="0054z00000AAVA1E1V"/>
    <x v="1"/>
    <x v="1"/>
    <x v="0"/>
    <x v="96"/>
    <x v="0"/>
    <s v="Workforce - A"/>
    <n v="18648.86"/>
    <s v=""/>
  </r>
  <r>
    <x v="111"/>
    <s v="0054z00000AAVA1E1V"/>
    <x v="1"/>
    <x v="1"/>
    <x v="0"/>
    <x v="96"/>
    <x v="0"/>
    <s v="Workforce - A"/>
    <n v="18648.86"/>
    <s v=""/>
  </r>
  <r>
    <x v="112"/>
    <s v="0054z00000AAFA1E1c"/>
    <x v="1"/>
    <x v="1"/>
    <x v="0"/>
    <x v="73"/>
    <x v="0"/>
    <s v="Workforce - B"/>
    <n v="21470.400000000001"/>
    <s v=""/>
  </r>
  <r>
    <x v="112"/>
    <s v="0054z00000AAFA1E1c"/>
    <x v="1"/>
    <x v="1"/>
    <x v="0"/>
    <x v="73"/>
    <x v="0"/>
    <s v="Workforce - A"/>
    <n v="7156.8"/>
    <s v=""/>
  </r>
  <r>
    <x v="112"/>
    <s v="0054z00000AAFA1E1c"/>
    <x v="1"/>
    <x v="1"/>
    <x v="0"/>
    <x v="73"/>
    <x v="0"/>
    <s v="Workforce - A"/>
    <n v="7156.8"/>
    <s v=""/>
  </r>
  <r>
    <x v="113"/>
    <s v="0054z00000AAFA1E0n"/>
    <x v="2"/>
    <x v="1"/>
    <x v="1"/>
    <x v="97"/>
    <x v="0"/>
    <s v="Workforce - E"/>
    <n v="4089.6"/>
    <s v=""/>
  </r>
  <r>
    <x v="113"/>
    <s v="0054z00000AAFA1E0n"/>
    <x v="2"/>
    <x v="1"/>
    <x v="1"/>
    <x v="97"/>
    <x v="0"/>
    <s v="Workforce - C"/>
    <n v="5316.48"/>
    <s v=""/>
  </r>
  <r>
    <x v="114"/>
    <s v="0054z00000AAVA1UwE"/>
    <x v="1"/>
    <x v="0"/>
    <x v="0"/>
    <x v="98"/>
    <x v="0"/>
    <s v="Workforce - B"/>
    <n v="5876.24"/>
    <s v=""/>
  </r>
  <r>
    <x v="115"/>
    <s v="0054z00000AAHAJThl"/>
    <x v="1"/>
    <x v="1"/>
    <x v="1"/>
    <x v="99"/>
    <x v="0"/>
    <s v="Workforce - A"/>
    <n v="2319.14"/>
    <s v=""/>
  </r>
  <r>
    <x v="116"/>
    <s v="0054z00000AADAKaw6"/>
    <x v="2"/>
    <x v="1"/>
    <x v="0"/>
    <x v="100"/>
    <x v="0"/>
    <s v="Workforce - C"/>
    <n v="10905.6"/>
    <s v=""/>
  </r>
  <r>
    <x v="116"/>
    <s v="0054z00000AADAKaw6"/>
    <x v="2"/>
    <x v="1"/>
    <x v="0"/>
    <x v="100"/>
    <x v="0"/>
    <s v="Workforce - C"/>
    <n v="21811.200000000001"/>
    <s v=""/>
  </r>
  <r>
    <x v="116"/>
    <s v="0054z00000AADAKaw6"/>
    <x v="2"/>
    <x v="1"/>
    <x v="0"/>
    <x v="100"/>
    <x v="0"/>
    <s v="Workforce - B"/>
    <n v="16358.4"/>
    <s v=""/>
  </r>
  <r>
    <x v="116"/>
    <s v="0054z00000AADAKaw6"/>
    <x v="2"/>
    <x v="1"/>
    <x v="0"/>
    <x v="100"/>
    <x v="0"/>
    <s v="Workforce - A"/>
    <n v="10905.6"/>
    <s v=""/>
  </r>
  <r>
    <x v="116"/>
    <s v="0054z00000AADAKaw6"/>
    <x v="2"/>
    <x v="1"/>
    <x v="0"/>
    <x v="100"/>
    <x v="0"/>
    <s v="Workforce - A"/>
    <n v="10905.6"/>
    <s v=""/>
  </r>
  <r>
    <x v="117"/>
    <s v="0051Y00000QARBei3T"/>
    <x v="1"/>
    <x v="1"/>
    <x v="1"/>
    <x v="101"/>
    <x v="0"/>
    <s v="Workforce - C"/>
    <n v="1741.49"/>
    <s v=""/>
  </r>
  <r>
    <x v="117"/>
    <s v="0051Y00000QARBei3T"/>
    <x v="1"/>
    <x v="1"/>
    <x v="1"/>
    <x v="101"/>
    <x v="0"/>
    <s v="Workforce - C"/>
    <n v="5222.76"/>
    <s v=""/>
  </r>
  <r>
    <x v="117"/>
    <s v="0051Y00000QARBei3T"/>
    <x v="1"/>
    <x v="1"/>
    <x v="1"/>
    <x v="101"/>
    <x v="0"/>
    <s v="Workforce - B"/>
    <n v="5803.82"/>
    <s v=""/>
  </r>
  <r>
    <x v="117"/>
    <s v="0051Y00000QARBei3T"/>
    <x v="1"/>
    <x v="1"/>
    <x v="1"/>
    <x v="101"/>
    <x v="0"/>
    <s v="Workforce - A"/>
    <n v="1934.04"/>
    <s v=""/>
  </r>
  <r>
    <x v="117"/>
    <s v="0051Y00000QARBei3T"/>
    <x v="1"/>
    <x v="1"/>
    <x v="1"/>
    <x v="101"/>
    <x v="0"/>
    <s v="Workforce - A"/>
    <n v="967.87"/>
    <s v=""/>
  </r>
  <r>
    <x v="118"/>
    <s v="0054z00000AAFA1E0j"/>
    <x v="1"/>
    <x v="0"/>
    <x v="1"/>
    <x v="102"/>
    <x v="1"/>
    <s v="CIAM - A"/>
    <n v="8247.36"/>
    <s v=""/>
  </r>
  <r>
    <x v="118"/>
    <s v="0054z00000AAFA1E0j"/>
    <x v="1"/>
    <x v="0"/>
    <x v="1"/>
    <x v="102"/>
    <x v="1"/>
    <s v="CIAM - A"/>
    <n v="16494.72"/>
    <s v=""/>
  </r>
  <r>
    <x v="118"/>
    <s v="0054z00000AAFA1E0j"/>
    <x v="1"/>
    <x v="0"/>
    <x v="1"/>
    <x v="102"/>
    <x v="1"/>
    <s v="CIAM - A"/>
    <n v="57731.519999999997"/>
    <s v=""/>
  </r>
  <r>
    <x v="118"/>
    <s v="0054z00000AAFA1E0j"/>
    <x v="1"/>
    <x v="0"/>
    <x v="1"/>
    <x v="102"/>
    <x v="1"/>
    <s v="CIAM - A"/>
    <n v="82473.600000000006"/>
    <s v=""/>
  </r>
  <r>
    <x v="119"/>
    <s v="0051Y00000QARBei3T"/>
    <x v="1"/>
    <x v="1"/>
    <x v="1"/>
    <x v="94"/>
    <x v="0"/>
    <s v="Workforce - C"/>
    <n v="14354.5"/>
    <s v=""/>
  </r>
  <r>
    <x v="119"/>
    <s v="0051Y00000QARBei3T"/>
    <x v="1"/>
    <x v="1"/>
    <x v="1"/>
    <x v="94"/>
    <x v="0"/>
    <s v="Workforce - A"/>
    <n v="2290.1799999999998"/>
    <s v=""/>
  </r>
  <r>
    <x v="119"/>
    <s v="0051Y00000QARBei3T"/>
    <x v="1"/>
    <x v="1"/>
    <x v="1"/>
    <x v="94"/>
    <x v="0"/>
    <s v="Workforce - A"/>
    <n v="1145.0899999999999"/>
    <s v=""/>
  </r>
  <r>
    <x v="120"/>
    <s v="0054z00000AAVA1E1Z"/>
    <x v="1"/>
    <x v="0"/>
    <x v="1"/>
    <x v="103"/>
    <x v="0"/>
    <s v="Workforce - C"/>
    <n v="10201.98"/>
    <s v=""/>
  </r>
  <r>
    <x v="120"/>
    <s v="0054z00000AAVA1E1Z"/>
    <x v="1"/>
    <x v="0"/>
    <x v="1"/>
    <x v="103"/>
    <x v="0"/>
    <s v="Workforce - A"/>
    <n v="10201.98"/>
    <s v=""/>
  </r>
  <r>
    <x v="120"/>
    <s v="0054z00000AAVA1E1Z"/>
    <x v="1"/>
    <x v="0"/>
    <x v="1"/>
    <x v="103"/>
    <x v="0"/>
    <s v="Workforce - A"/>
    <n v="5100.99"/>
    <s v=""/>
  </r>
  <r>
    <x v="121"/>
    <s v="0054z00000AAFA1E1c"/>
    <x v="1"/>
    <x v="1"/>
    <x v="1"/>
    <x v="104"/>
    <x v="0"/>
    <s v="Workforce - C"/>
    <n v="1325.71"/>
    <s v=""/>
  </r>
  <r>
    <x v="121"/>
    <s v="0054z00000AAFA1E1c"/>
    <x v="1"/>
    <x v="1"/>
    <x v="1"/>
    <x v="104"/>
    <x v="0"/>
    <s v="Workforce - B"/>
    <n v="405.55"/>
    <s v=""/>
  </r>
  <r>
    <x v="121"/>
    <s v="0054z00000AAFA1E1c"/>
    <x v="1"/>
    <x v="1"/>
    <x v="1"/>
    <x v="104"/>
    <x v="0"/>
    <s v="Workforce - A"/>
    <n v="736.13"/>
    <s v=""/>
  </r>
  <r>
    <x v="121"/>
    <s v="0054z00000AAFA1E1c"/>
    <x v="1"/>
    <x v="1"/>
    <x v="1"/>
    <x v="104"/>
    <x v="0"/>
    <s v="Workforce - A"/>
    <n v="470.3"/>
    <s v=""/>
  </r>
  <r>
    <x v="122"/>
    <s v="0054z00000AAFA1Iw8"/>
    <x v="1"/>
    <x v="0"/>
    <x v="1"/>
    <x v="105"/>
    <x v="0"/>
    <s v="Workforce - E"/>
    <n v="23752.400000000001"/>
    <s v=""/>
  </r>
  <r>
    <x v="122"/>
    <s v="0054z00000AAFA1Iw8"/>
    <x v="1"/>
    <x v="0"/>
    <x v="1"/>
    <x v="105"/>
    <x v="0"/>
    <s v="Workforce - C"/>
    <n v="4181.41"/>
    <s v=""/>
  </r>
  <r>
    <x v="122"/>
    <s v="0054z00000AAFA1Iw8"/>
    <x v="1"/>
    <x v="0"/>
    <x v="1"/>
    <x v="105"/>
    <x v="0"/>
    <s v="Workforce - B"/>
    <n v="8684.4699999999993"/>
    <s v=""/>
  </r>
  <r>
    <x v="122"/>
    <s v="0054z00000AAFA1Iw8"/>
    <x v="1"/>
    <x v="0"/>
    <x v="1"/>
    <x v="105"/>
    <x v="0"/>
    <s v="Workforce - A"/>
    <n v="4181.41"/>
    <s v=""/>
  </r>
  <r>
    <x v="122"/>
    <s v="0054z00000AAFA1Iw8"/>
    <x v="1"/>
    <x v="0"/>
    <x v="1"/>
    <x v="105"/>
    <x v="0"/>
    <s v="Workforce - A"/>
    <n v="2090.71"/>
    <s v=""/>
  </r>
  <r>
    <x v="123"/>
    <s v="0054z00000AAQ98tcW"/>
    <x v="0"/>
    <x v="1"/>
    <x v="0"/>
    <x v="106"/>
    <x v="0"/>
    <s v="Workforce - C"/>
    <n v="10459.719999999999"/>
    <s v=""/>
  </r>
  <r>
    <x v="123"/>
    <s v="0054z00000AAQ98tcW"/>
    <x v="0"/>
    <x v="1"/>
    <x v="0"/>
    <x v="106"/>
    <x v="0"/>
    <s v="Workforce - A"/>
    <n v="5229.8599999999997"/>
    <s v=""/>
  </r>
  <r>
    <x v="123"/>
    <s v="0054z00000AAQ98tcW"/>
    <x v="0"/>
    <x v="1"/>
    <x v="0"/>
    <x v="106"/>
    <x v="0"/>
    <s v="Workforce - A"/>
    <n v="5229.8599999999997"/>
    <s v=""/>
  </r>
  <r>
    <x v="124"/>
    <s v="0054z00000AAFA1E0m"/>
    <x v="1"/>
    <x v="1"/>
    <x v="1"/>
    <x v="107"/>
    <x v="0"/>
    <s v="Workforce - C"/>
    <n v="2061.84"/>
    <s v=""/>
  </r>
  <r>
    <x v="124"/>
    <s v="0054z00000AAFA1E0m"/>
    <x v="1"/>
    <x v="1"/>
    <x v="1"/>
    <x v="107"/>
    <x v="0"/>
    <s v="Workforce - C"/>
    <n v="6183.82"/>
    <s v=""/>
  </r>
  <r>
    <x v="124"/>
    <s v="0054z00000AAFA1E0m"/>
    <x v="1"/>
    <x v="1"/>
    <x v="1"/>
    <x v="107"/>
    <x v="0"/>
    <s v="Workforce - B"/>
    <n v="3091.06"/>
    <s v=""/>
  </r>
  <r>
    <x v="124"/>
    <s v="0054z00000AAFA1E0m"/>
    <x v="1"/>
    <x v="1"/>
    <x v="1"/>
    <x v="107"/>
    <x v="0"/>
    <s v="Workforce - A"/>
    <n v="2061.84"/>
    <s v=""/>
  </r>
  <r>
    <x v="124"/>
    <s v="0054z00000AAFA1E0m"/>
    <x v="1"/>
    <x v="1"/>
    <x v="1"/>
    <x v="107"/>
    <x v="0"/>
    <s v="Workforce - A"/>
    <n v="1030.92"/>
    <s v=""/>
  </r>
  <r>
    <x v="125"/>
    <s v="0054z00000AAVA1E1V"/>
    <x v="1"/>
    <x v="1"/>
    <x v="1"/>
    <x v="108"/>
    <x v="0"/>
    <s v="Workforce - C"/>
    <n v="2862.72"/>
    <s v=""/>
  </r>
  <r>
    <x v="125"/>
    <s v="0054z00000AAVA1E1V"/>
    <x v="1"/>
    <x v="1"/>
    <x v="1"/>
    <x v="108"/>
    <x v="0"/>
    <s v="Workforce - B"/>
    <n v="2670.17"/>
    <s v=""/>
  </r>
  <r>
    <x v="125"/>
    <s v="0054z00000AAVA1E1V"/>
    <x v="1"/>
    <x v="1"/>
    <x v="1"/>
    <x v="108"/>
    <x v="0"/>
    <s v="Workforce - A"/>
    <n v="1247.33"/>
    <s v=""/>
  </r>
  <r>
    <x v="125"/>
    <s v="0054z00000AAVA1E1V"/>
    <x v="1"/>
    <x v="1"/>
    <x v="1"/>
    <x v="108"/>
    <x v="0"/>
    <s v="Workforce - A"/>
    <n v="674.78"/>
    <s v=""/>
  </r>
  <r>
    <x v="126"/>
    <s v="0054z00000AAFA1Iw8"/>
    <x v="1"/>
    <x v="0"/>
    <x v="1"/>
    <x v="109"/>
    <x v="0"/>
    <s v="Workforce - C"/>
    <n v="49484.160000000003"/>
    <s v=""/>
  </r>
  <r>
    <x v="126"/>
    <s v="0054z00000AAFA1Iw8"/>
    <x v="1"/>
    <x v="0"/>
    <x v="1"/>
    <x v="109"/>
    <x v="0"/>
    <s v="Workforce - B"/>
    <n v="69277.820000000007"/>
    <s v=""/>
  </r>
  <r>
    <x v="127"/>
    <s v="0054z00000AAVA1E1U"/>
    <x v="1"/>
    <x v="1"/>
    <x v="1"/>
    <x v="110"/>
    <x v="1"/>
    <s v="CIAM - A"/>
    <n v="23174.400000000001"/>
    <s v=""/>
  </r>
  <r>
    <x v="128"/>
    <s v="0051Y00000QARBgp8N"/>
    <x v="1"/>
    <x v="0"/>
    <x v="0"/>
    <x v="111"/>
    <x v="0"/>
    <s v="Workforce - C"/>
    <n v="49071.79"/>
    <s v=""/>
  </r>
  <r>
    <x v="128"/>
    <s v="0051Y00000QARBgp8N"/>
    <x v="1"/>
    <x v="0"/>
    <x v="0"/>
    <x v="111"/>
    <x v="0"/>
    <s v="Workforce - C"/>
    <n v="98143.58"/>
    <s v=""/>
  </r>
  <r>
    <x v="128"/>
    <s v="0051Y00000QARBgp8N"/>
    <x v="1"/>
    <x v="0"/>
    <x v="0"/>
    <x v="111"/>
    <x v="0"/>
    <s v="Workforce - A"/>
    <n v="49071.79"/>
    <s v=""/>
  </r>
  <r>
    <x v="128"/>
    <s v="0051Y00000QARBgp8N"/>
    <x v="1"/>
    <x v="0"/>
    <x v="0"/>
    <x v="111"/>
    <x v="0"/>
    <s v="Workforce - A"/>
    <n v="49071.79"/>
    <s v=""/>
  </r>
  <r>
    <x v="129"/>
    <s v="0051Y00000QARBei3T"/>
    <x v="1"/>
    <x v="1"/>
    <x v="0"/>
    <x v="112"/>
    <x v="1"/>
    <s v="CIAM - A"/>
    <n v="14484"/>
    <s v=""/>
  </r>
  <r>
    <x v="129"/>
    <s v="0051Y00000QARBei3T"/>
    <x v="1"/>
    <x v="1"/>
    <x v="0"/>
    <x v="112"/>
    <x v="1"/>
    <s v="CIAM - A"/>
    <n v="6816"/>
    <s v=""/>
  </r>
  <r>
    <x v="130"/>
    <s v="0054z00000AAQ9zzrE"/>
    <x v="2"/>
    <x v="1"/>
    <x v="1"/>
    <x v="25"/>
    <x v="0"/>
    <s v="Workforce - E"/>
    <n v="862.22"/>
    <s v=""/>
  </r>
  <r>
    <x v="130"/>
    <s v="0054z00000AAQ9zzrE"/>
    <x v="2"/>
    <x v="1"/>
    <x v="1"/>
    <x v="25"/>
    <x v="0"/>
    <s v="Workforce - C"/>
    <n v="1702.3"/>
    <s v=""/>
  </r>
  <r>
    <x v="130"/>
    <s v="0054z00000AAQ9zzrE"/>
    <x v="2"/>
    <x v="1"/>
    <x v="1"/>
    <x v="25"/>
    <x v="0"/>
    <s v="Workforce - B"/>
    <n v="2552.59"/>
    <s v=""/>
  </r>
  <r>
    <x v="130"/>
    <s v="0054z00000AAQ9zzrE"/>
    <x v="2"/>
    <x v="1"/>
    <x v="1"/>
    <x v="25"/>
    <x v="0"/>
    <s v="Workforce - A"/>
    <n v="1214.95"/>
    <s v=""/>
  </r>
  <r>
    <x v="130"/>
    <s v="0054z00000AAQ9zzrE"/>
    <x v="2"/>
    <x v="1"/>
    <x v="1"/>
    <x v="25"/>
    <x v="0"/>
    <s v="Workforce - A"/>
    <n v="1214.95"/>
    <s v=""/>
  </r>
  <r>
    <x v="131"/>
    <s v="0054z00000AAVA1UwM"/>
    <x v="2"/>
    <x v="1"/>
    <x v="1"/>
    <x v="113"/>
    <x v="0"/>
    <s v="Workforce - B"/>
    <n v="2545.7800000000002"/>
    <s v=""/>
  </r>
  <r>
    <x v="131"/>
    <s v="0054z00000AAVA1UwM"/>
    <x v="2"/>
    <x v="1"/>
    <x v="1"/>
    <x v="113"/>
    <x v="0"/>
    <s v="Workforce - A"/>
    <n v="848.59"/>
    <s v=""/>
  </r>
  <r>
    <x v="131"/>
    <s v="0054z00000AAVA1UwM"/>
    <x v="2"/>
    <x v="1"/>
    <x v="1"/>
    <x v="113"/>
    <x v="0"/>
    <s v="Workforce - A"/>
    <n v="848.59"/>
    <s v=""/>
  </r>
  <r>
    <x v="132"/>
    <s v="0054z00000AAY98dRX"/>
    <x v="1"/>
    <x v="1"/>
    <x v="1"/>
    <x v="114"/>
    <x v="0"/>
    <s v="Workforce - E"/>
    <n v="1514.86"/>
    <s v=""/>
  </r>
  <r>
    <x v="132"/>
    <s v="0054z00000AAY98dRX"/>
    <x v="1"/>
    <x v="1"/>
    <x v="1"/>
    <x v="114"/>
    <x v="0"/>
    <s v="Workforce - B"/>
    <n v="2670.17"/>
    <s v=""/>
  </r>
  <r>
    <x v="132"/>
    <s v="0054z00000AAY98dRX"/>
    <x v="1"/>
    <x v="1"/>
    <x v="1"/>
    <x v="114"/>
    <x v="0"/>
    <s v="Workforce - A"/>
    <n v="1438.18"/>
    <s v=""/>
  </r>
  <r>
    <x v="132"/>
    <s v="0054z00000AAY98dRX"/>
    <x v="1"/>
    <x v="1"/>
    <x v="1"/>
    <x v="114"/>
    <x v="0"/>
    <s v="Workforce - A"/>
    <n v="719.09"/>
    <s v=""/>
  </r>
  <r>
    <x v="133"/>
    <s v="0054z00000AAFA1E0l"/>
    <x v="2"/>
    <x v="1"/>
    <x v="1"/>
    <x v="115"/>
    <x v="0"/>
    <s v="Workforce - C"/>
    <n v="8588.16"/>
    <s v=""/>
  </r>
  <r>
    <x v="134"/>
    <s v="0054z00000AAFA1E0p"/>
    <x v="0"/>
    <x v="0"/>
    <x v="1"/>
    <x v="116"/>
    <x v="0"/>
    <s v="Workforce - B"/>
    <n v="8523.65"/>
    <s v="Bob Smith"/>
  </r>
  <r>
    <x v="134"/>
    <s v="0054z00000AAFA1E0p"/>
    <x v="0"/>
    <x v="0"/>
    <x v="1"/>
    <x v="116"/>
    <x v="0"/>
    <s v="Workforce - A"/>
    <n v="3933.99"/>
    <s v="Bob Smith"/>
  </r>
  <r>
    <x v="134"/>
    <s v="0054z00000AAFA1E0p"/>
    <x v="0"/>
    <x v="0"/>
    <x v="1"/>
    <x v="116"/>
    <x v="0"/>
    <s v="Workforce - A"/>
    <n v="2602.04"/>
    <s v="Bob Smith"/>
  </r>
  <r>
    <x v="135"/>
    <s v="0054z00000AAVA1E0X"/>
    <x v="0"/>
    <x v="1"/>
    <x v="1"/>
    <x v="117"/>
    <x v="0"/>
    <s v="Workforce - C"/>
    <n v="12514.18"/>
    <s v=""/>
  </r>
  <r>
    <x v="135"/>
    <s v="0054z00000AAVA1E0X"/>
    <x v="0"/>
    <x v="1"/>
    <x v="1"/>
    <x v="117"/>
    <x v="0"/>
    <s v="Workforce - C"/>
    <n v="6952.32"/>
    <s v=""/>
  </r>
  <r>
    <x v="135"/>
    <s v="0054z00000AAVA1E0X"/>
    <x v="0"/>
    <x v="1"/>
    <x v="1"/>
    <x v="117"/>
    <x v="0"/>
    <s v="Workforce - B"/>
    <n v="12514.18"/>
    <s v=""/>
  </r>
  <r>
    <x v="135"/>
    <s v="0054z00000AAVA1E0X"/>
    <x v="0"/>
    <x v="1"/>
    <x v="1"/>
    <x v="117"/>
    <x v="0"/>
    <s v="Workforce - A"/>
    <n v="3476.16"/>
    <s v=""/>
  </r>
  <r>
    <x v="135"/>
    <s v="0054z00000AAVA1E0X"/>
    <x v="0"/>
    <x v="1"/>
    <x v="1"/>
    <x v="117"/>
    <x v="0"/>
    <s v="Workforce - A"/>
    <n v="4171.3900000000003"/>
    <s v=""/>
  </r>
  <r>
    <x v="136"/>
    <s v="0054z00000AAVA1UwF"/>
    <x v="2"/>
    <x v="1"/>
    <x v="0"/>
    <x v="118"/>
    <x v="0"/>
    <s v="Workforce - B"/>
    <n v="22428.9"/>
    <s v=""/>
  </r>
  <r>
    <x v="137"/>
    <s v="0054z00000AAFA1E0l"/>
    <x v="2"/>
    <x v="1"/>
    <x v="1"/>
    <x v="119"/>
    <x v="0"/>
    <s v="Workforce - C"/>
    <n v="5740.78"/>
    <s v=""/>
  </r>
  <r>
    <x v="137"/>
    <s v="0054z00000AAFA1E0l"/>
    <x v="2"/>
    <x v="1"/>
    <x v="1"/>
    <x v="119"/>
    <x v="0"/>
    <s v="Workforce - B"/>
    <n v="8538.74"/>
    <s v=""/>
  </r>
  <r>
    <x v="137"/>
    <s v="0054z00000AAFA1E0l"/>
    <x v="2"/>
    <x v="1"/>
    <x v="1"/>
    <x v="119"/>
    <x v="0"/>
    <s v="Workforce - A"/>
    <n v="2845.68"/>
    <s v=""/>
  </r>
  <r>
    <x v="137"/>
    <s v="0054z00000AAFA1E0l"/>
    <x v="2"/>
    <x v="1"/>
    <x v="1"/>
    <x v="119"/>
    <x v="0"/>
    <s v="Workforce - A"/>
    <n v="2941.1"/>
    <s v=""/>
  </r>
  <r>
    <x v="138"/>
    <s v="0054z00000AAQ9zzrE"/>
    <x v="2"/>
    <x v="1"/>
    <x v="1"/>
    <x v="120"/>
    <x v="0"/>
    <s v="Workforce - C"/>
    <n v="1329.12"/>
    <s v=""/>
  </r>
  <r>
    <x v="138"/>
    <s v="0054z00000AAQ9zzrE"/>
    <x v="2"/>
    <x v="1"/>
    <x v="1"/>
    <x v="120"/>
    <x v="0"/>
    <s v="Workforce - C"/>
    <n v="3987.36"/>
    <s v=""/>
  </r>
  <r>
    <x v="138"/>
    <s v="0054z00000AAQ9zzrE"/>
    <x v="2"/>
    <x v="1"/>
    <x v="1"/>
    <x v="120"/>
    <x v="0"/>
    <s v="Workforce - B"/>
    <n v="3987.36"/>
    <s v=""/>
  </r>
  <r>
    <x v="138"/>
    <s v="0054z00000AAQ9zzrE"/>
    <x v="2"/>
    <x v="1"/>
    <x v="1"/>
    <x v="120"/>
    <x v="0"/>
    <s v="Workforce - A"/>
    <n v="1329.12"/>
    <s v=""/>
  </r>
  <r>
    <x v="138"/>
    <s v="0054z00000AAQ9zzrE"/>
    <x v="2"/>
    <x v="1"/>
    <x v="1"/>
    <x v="120"/>
    <x v="0"/>
    <s v="Workforce - A"/>
    <n v="1329.12"/>
    <s v=""/>
  </r>
  <r>
    <x v="139"/>
    <s v="0054z00000AAHAJThl"/>
    <x v="1"/>
    <x v="1"/>
    <x v="1"/>
    <x v="121"/>
    <x v="0"/>
    <s v="Workforce - C"/>
    <n v="9733.25"/>
    <s v=""/>
  </r>
  <r>
    <x v="139"/>
    <s v="0054z00000AAHAJThl"/>
    <x v="1"/>
    <x v="1"/>
    <x v="1"/>
    <x v="121"/>
    <x v="0"/>
    <s v="Workforce - C"/>
    <n v="4866.62"/>
    <s v=""/>
  </r>
  <r>
    <x v="139"/>
    <s v="0054z00000AAHAJThl"/>
    <x v="1"/>
    <x v="1"/>
    <x v="1"/>
    <x v="121"/>
    <x v="0"/>
    <s v="Workforce - B"/>
    <n v="3435.26"/>
    <s v=""/>
  </r>
  <r>
    <x v="139"/>
    <s v="0054z00000AAHAJThl"/>
    <x v="1"/>
    <x v="1"/>
    <x v="1"/>
    <x v="121"/>
    <x v="0"/>
    <s v="Workforce - A"/>
    <n v="1145.0899999999999"/>
    <s v=""/>
  </r>
  <r>
    <x v="139"/>
    <s v="0054z00000AAHAJThl"/>
    <x v="1"/>
    <x v="1"/>
    <x v="1"/>
    <x v="121"/>
    <x v="0"/>
    <s v="Workforce - A"/>
    <n v="1145.0899999999999"/>
    <s v=""/>
  </r>
  <r>
    <x v="140"/>
    <s v="0054z00000AAVA1E0T"/>
    <x v="2"/>
    <x v="1"/>
    <x v="0"/>
    <x v="122"/>
    <x v="0"/>
    <s v="Workforce - C"/>
    <n v="1241.08"/>
    <s v=""/>
  </r>
  <r>
    <x v="140"/>
    <s v="0054z00000AAVA1E0T"/>
    <x v="2"/>
    <x v="1"/>
    <x v="0"/>
    <x v="122"/>
    <x v="0"/>
    <s v="Workforce - B"/>
    <n v="1860.2"/>
    <s v=""/>
  </r>
  <r>
    <x v="140"/>
    <s v="0054z00000AAVA1E0T"/>
    <x v="2"/>
    <x v="1"/>
    <x v="0"/>
    <x v="122"/>
    <x v="0"/>
    <s v="Workforce - A"/>
    <n v="620.54"/>
    <s v=""/>
  </r>
  <r>
    <x v="140"/>
    <s v="0054z00000AAVA1E0T"/>
    <x v="2"/>
    <x v="1"/>
    <x v="0"/>
    <x v="122"/>
    <x v="0"/>
    <s v="Workforce - A"/>
    <n v="620.54"/>
    <s v=""/>
  </r>
  <r>
    <x v="141"/>
    <s v="0051Y00000QARBgp8X"/>
    <x v="2"/>
    <x v="1"/>
    <x v="1"/>
    <x v="123"/>
    <x v="0"/>
    <s v="Workforce - E"/>
    <n v="2281.66"/>
    <s v=""/>
  </r>
  <r>
    <x v="141"/>
    <s v="0051Y00000QARBgp8X"/>
    <x v="2"/>
    <x v="1"/>
    <x v="1"/>
    <x v="123"/>
    <x v="0"/>
    <s v="Workforce - C"/>
    <n v="4561.6099999999997"/>
    <s v=""/>
  </r>
  <r>
    <x v="141"/>
    <s v="0051Y00000QARBgp8X"/>
    <x v="2"/>
    <x v="1"/>
    <x v="1"/>
    <x v="123"/>
    <x v="0"/>
    <s v="Workforce - B"/>
    <n v="6843.26"/>
    <s v=""/>
  </r>
  <r>
    <x v="141"/>
    <s v="0051Y00000QARBgp8X"/>
    <x v="2"/>
    <x v="1"/>
    <x v="1"/>
    <x v="123"/>
    <x v="0"/>
    <s v="Workforce - A"/>
    <n v="2281.66"/>
    <s v=""/>
  </r>
  <r>
    <x v="141"/>
    <s v="0051Y00000QARBgp8X"/>
    <x v="2"/>
    <x v="1"/>
    <x v="1"/>
    <x v="123"/>
    <x v="0"/>
    <s v="Workforce - A"/>
    <n v="2281.66"/>
    <s v=""/>
  </r>
  <r>
    <x v="142"/>
    <s v="0054z00000AAFA1Iw9"/>
    <x v="2"/>
    <x v="1"/>
    <x v="0"/>
    <x v="119"/>
    <x v="0"/>
    <s v="Workforce - C"/>
    <n v="11560.22"/>
    <s v=""/>
  </r>
  <r>
    <x v="142"/>
    <s v="0054z00000AAFA1Iw9"/>
    <x v="2"/>
    <x v="1"/>
    <x v="0"/>
    <x v="119"/>
    <x v="0"/>
    <s v="Workforce - A"/>
    <n v="5779.4"/>
    <s v=""/>
  </r>
  <r>
    <x v="142"/>
    <s v="0054z00000AAFA1Iw9"/>
    <x v="2"/>
    <x v="1"/>
    <x v="0"/>
    <x v="119"/>
    <x v="0"/>
    <s v="Workforce - A"/>
    <n v="5779.4"/>
    <s v=""/>
  </r>
  <r>
    <x v="143"/>
    <s v="0054z00000AAVA1E0U"/>
    <x v="2"/>
    <x v="1"/>
    <x v="0"/>
    <x v="124"/>
    <x v="0"/>
    <s v="Workforce - A"/>
    <n v="17004.5"/>
    <s v=""/>
  </r>
  <r>
    <x v="143"/>
    <s v="0054z00000AAVA1E0U"/>
    <x v="2"/>
    <x v="1"/>
    <x v="0"/>
    <x v="124"/>
    <x v="0"/>
    <s v="Workforce - A"/>
    <n v="17004.5"/>
    <s v=""/>
  </r>
  <r>
    <x v="144"/>
    <s v="0054z00000AAFA1E0n"/>
    <x v="2"/>
    <x v="1"/>
    <x v="0"/>
    <x v="125"/>
    <x v="0"/>
    <s v="Workforce - C"/>
    <n v="6645.6"/>
    <s v=""/>
  </r>
  <r>
    <x v="144"/>
    <s v="0054z00000AAFA1E0n"/>
    <x v="2"/>
    <x v="1"/>
    <x v="0"/>
    <x v="125"/>
    <x v="0"/>
    <s v="Workforce - C"/>
    <n v="13291.2"/>
    <s v=""/>
  </r>
  <r>
    <x v="144"/>
    <s v="0054z00000AAFA1E0n"/>
    <x v="2"/>
    <x v="1"/>
    <x v="0"/>
    <x v="125"/>
    <x v="0"/>
    <s v="Workforce - B"/>
    <n v="19936.8"/>
    <s v=""/>
  </r>
  <r>
    <x v="144"/>
    <s v="0054z00000AAFA1E0n"/>
    <x v="2"/>
    <x v="1"/>
    <x v="0"/>
    <x v="125"/>
    <x v="0"/>
    <s v="Workforce - A"/>
    <n v="6645.6"/>
    <s v=""/>
  </r>
  <r>
    <x v="144"/>
    <s v="0054z00000AAFA1E0n"/>
    <x v="2"/>
    <x v="1"/>
    <x v="0"/>
    <x v="125"/>
    <x v="0"/>
    <s v="Workforce - A"/>
    <n v="6645.6"/>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Q1 - Sales by Geo" cacheId="19" applyNumberFormats="0" applyBorderFormats="0" applyFontFormats="0" applyPatternFormats="0" applyAlignmentFormats="0" applyWidthHeightFormats="0" dataCaption="" updatedVersion="8" compact="0" compactData="0">
  <location ref="A5:B9" firstHeaderRow="1" firstDataRow="1" firstDataCol="1"/>
  <pivotFields count="10">
    <pivotField name="Opportunity ID" compact="0" outline="0" multipleItemSelectionAllowed="1" showAll="0"/>
    <pivotField name="Opp Owner User ID" compact="0" outline="0" multipleItemSelectionAllowed="1" showAll="0"/>
    <pivotField name="Opp Owner Geo" axis="axisRow" compact="0" outline="0" multipleItemSelectionAllowed="1" showAll="0" sortType="ascending">
      <items count="4">
        <item x="0"/>
        <item x="2"/>
        <item x="1"/>
        <item t="default"/>
      </items>
    </pivotField>
    <pivotField name="Segment" compact="0" outline="0" multipleItemSelectionAllowed="1" showAll="0"/>
    <pivotField name="Opportunity Type" compact="0" outline="0" multipleItemSelectionAllowed="1" showAll="0"/>
    <pivotField name="Close Date" compact="0" numFmtId="164" outline="0" multipleItemSelectionAllowed="1" showAll="0"/>
    <pivotField name="Product Line" compact="0" outline="0" multipleItemSelectionAllowed="1" showAll="0"/>
    <pivotField name="Product Family" compact="0" outline="0" multipleItemSelectionAllowed="1" showAll="0"/>
    <pivotField name="Total Price" dataField="1" compact="0" numFmtId="4" outline="0" multipleItemSelectionAllowed="1" showAll="0"/>
    <pivotField name="Rep Name" compact="0" outline="0" multipleItemSelectionAllowed="1" showAll="0"/>
  </pivotFields>
  <rowFields count="1">
    <field x="2"/>
  </rowFields>
  <rowItems count="4">
    <i>
      <x/>
    </i>
    <i>
      <x v="1"/>
    </i>
    <i>
      <x v="2"/>
    </i>
    <i t="grand">
      <x/>
    </i>
  </rowItems>
  <colItems count="1">
    <i/>
  </colItems>
  <dataFields count="1">
    <dataField name="SUM of Total Price"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Q2 - CIAM by Segment" cacheId="19" applyNumberFormats="0" applyBorderFormats="0" applyFontFormats="0" applyPatternFormats="0" applyAlignmentFormats="0" applyWidthHeightFormats="0" dataCaption="" updatedVersion="8" compact="0" compactData="0">
  <location ref="A6:B9" firstHeaderRow="1" firstDataRow="1" firstDataCol="1" rowPageCount="1" colPageCount="1"/>
  <pivotFields count="10">
    <pivotField name="Opportunity ID" compact="0" outline="0" multipleItemSelectionAllowed="1" showAll="0"/>
    <pivotField name="Opp Owner User ID" compact="0" outline="0" multipleItemSelectionAllowed="1" showAll="0"/>
    <pivotField name="Opp Owner Geo" compact="0" outline="0" multipleItemSelectionAllowed="1" showAll="0"/>
    <pivotField name="Segment" axis="axisRow" compact="0" outline="0" multipleItemSelectionAllowed="1" showAll="0" sortType="ascending">
      <items count="3">
        <item x="1"/>
        <item x="0"/>
        <item t="default"/>
      </items>
    </pivotField>
    <pivotField name="Opportunity Type" compact="0" outline="0" multipleItemSelectionAllowed="1" showAll="0"/>
    <pivotField name="Close Date" compact="0" numFmtId="164" outline="0" multipleItemSelectionAllowed="1" showAll="0"/>
    <pivotField name="Product Line" axis="axisPage" compact="0" outline="0" multipleItemSelectionAllowed="1" showAll="0">
      <items count="3">
        <item h="1" x="0"/>
        <item x="1"/>
        <item t="default"/>
      </items>
    </pivotField>
    <pivotField name="Product Family" compact="0" outline="0" multipleItemSelectionAllowed="1" showAll="0"/>
    <pivotField name="Total Price" dataField="1" compact="0" numFmtId="4" outline="0" multipleItemSelectionAllowed="1" showAll="0"/>
    <pivotField name="Rep Name" compact="0" outline="0" multipleItemSelectionAllowed="1" showAll="0"/>
  </pivotFields>
  <rowFields count="1">
    <field x="3"/>
  </rowFields>
  <rowItems count="3">
    <i>
      <x/>
    </i>
    <i>
      <x v="1"/>
    </i>
    <i t="grand">
      <x/>
    </i>
  </rowItems>
  <colItems count="1">
    <i/>
  </colItems>
  <pageFields count="1">
    <pageField fld="6" hier="0"/>
  </pageFields>
  <dataFields count="1">
    <dataField name="CIAM Sales ($)"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Q3 - Sept AMER Ent Upsell" cacheId="19" applyNumberFormats="0" applyBorderFormats="0" applyFontFormats="0" applyPatternFormats="0" applyAlignmentFormats="0" applyWidthHeightFormats="0" dataCaption="" updatedVersion="8" compact="0" compactData="0">
  <location ref="A9:B13" firstHeaderRow="1" firstDataRow="1" firstDataCol="1" rowPageCount="4" colPageCount="1"/>
  <pivotFields count="10">
    <pivotField name="Opportunity ID" axis="axisRow" dataField="1" compact="0" outline="0" multipleItemSelectionAllowed="1" showAll="0" sortType="ascending">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Opp Owner User ID" compact="0" outline="0" multipleItemSelectionAllowed="1" showAll="0"/>
    <pivotField name="Opp Owner Geo" axis="axisPage" compact="0" outline="0" multipleItemSelectionAllowed="1" showAll="0">
      <items count="4">
        <item x="0"/>
        <item h="1" x="1"/>
        <item h="1" x="2"/>
        <item t="default"/>
      </items>
    </pivotField>
    <pivotField name="Segment" axis="axisPage" compact="0" outline="0" multipleItemSelectionAllowed="1" showAll="0">
      <items count="3">
        <item x="0"/>
        <item h="1" x="1"/>
        <item t="default"/>
      </items>
    </pivotField>
    <pivotField name="Opportunity Type" axis="axisPage" compact="0" outline="0" multipleItemSelectionAllowed="1" showAll="0">
      <items count="3">
        <item h="1" x="0"/>
        <item x="1"/>
        <item t="default"/>
      </items>
    </pivotField>
    <pivotField name="Close Date" axis="axisPage" compact="0" numFmtId="164" outline="0" multipleItemSelectionAllowed="1" showAll="0">
      <items count="127">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x="45"/>
        <item h="1" x="46"/>
        <item h="1" x="47"/>
        <item h="1" x="48"/>
        <item h="1" x="49"/>
        <item h="1" x="50"/>
        <item h="1" x="51"/>
        <item h="1" x="52"/>
        <item h="1" x="53"/>
        <item h="1" x="54"/>
        <item h="1" x="55"/>
        <item h="1" x="56"/>
        <item h="1" x="57"/>
        <item h="1" x="58"/>
        <item h="1" x="59"/>
        <item h="1" x="60"/>
        <item h="1" x="61"/>
        <item x="62"/>
        <item h="1" x="63"/>
        <item h="1" x="64"/>
        <item h="1" x="65"/>
        <item h="1" x="66"/>
        <item h="1" x="67"/>
        <item h="1" x="68"/>
        <item h="1" x="69"/>
        <item h="1" x="70"/>
        <item x="71"/>
        <item h="1" x="72"/>
        <item x="73"/>
        <item h="1" x="74"/>
        <item h="1" x="75"/>
        <item h="1" x="76"/>
        <item x="77"/>
        <item h="1" x="78"/>
        <item h="1" x="79"/>
        <item h="1" x="80"/>
        <item h="1" x="81"/>
        <item h="1" x="82"/>
        <item h="1" x="83"/>
        <item h="1" x="84"/>
        <item h="1" x="85"/>
        <item x="86"/>
        <item x="87"/>
        <item x="88"/>
        <item h="1" x="89"/>
        <item h="1" x="90"/>
        <item x="91"/>
        <item x="92"/>
        <item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t="default"/>
      </items>
    </pivotField>
    <pivotField name="Product Line" compact="0" outline="0" multipleItemSelectionAllowed="1" showAll="0"/>
    <pivotField name="Product Family" compact="0" outline="0" multipleItemSelectionAllowed="1" showAll="0"/>
    <pivotField name="Total Price" compact="0" numFmtId="4" outline="0" multipleItemSelectionAllowed="1" showAll="0"/>
    <pivotField name="Rep Name" compact="0" outline="0" multipleItemSelectionAllowed="1" showAll="0"/>
  </pivotFields>
  <rowFields count="1">
    <field x="0"/>
  </rowFields>
  <rowItems count="4">
    <i>
      <x v="67"/>
    </i>
    <i>
      <x v="103"/>
    </i>
    <i>
      <x v="108"/>
    </i>
    <i t="grand">
      <x/>
    </i>
  </rowItems>
  <colItems count="1">
    <i/>
  </colItems>
  <pageFields count="4">
    <pageField fld="2" hier="0"/>
    <pageField fld="3" hier="0"/>
    <pageField fld="4" hier="0"/>
    <pageField fld="5" hier="0"/>
  </pageFields>
  <dataFields count="1">
    <dataField name="COUNTA of Opportunity ID"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showGridLines="0" workbookViewId="0"/>
  </sheetViews>
  <sheetFormatPr baseColWidth="10" defaultColWidth="12.6640625" defaultRowHeight="15.75" customHeight="1" x14ac:dyDescent="0.15"/>
  <sheetData>
    <row r="1" spans="1:26" x14ac:dyDescent="0.2">
      <c r="A1" s="1" t="s">
        <v>0</v>
      </c>
      <c r="B1" s="1"/>
      <c r="C1" s="1"/>
      <c r="D1" s="1"/>
      <c r="E1" s="1"/>
      <c r="F1" s="1"/>
      <c r="G1" s="1"/>
      <c r="H1" s="1"/>
      <c r="I1" s="1"/>
      <c r="J1" s="1"/>
      <c r="K1" s="1"/>
      <c r="L1" s="1"/>
      <c r="M1" s="1"/>
      <c r="N1" s="1"/>
      <c r="O1" s="1"/>
      <c r="P1" s="1"/>
      <c r="Q1" s="1"/>
      <c r="R1" s="1"/>
      <c r="S1" s="1"/>
      <c r="T1" s="1"/>
      <c r="U1" s="1"/>
      <c r="V1" s="1"/>
      <c r="W1" s="1"/>
      <c r="X1" s="1"/>
      <c r="Y1" s="1"/>
      <c r="Z1" s="1"/>
    </row>
    <row r="2" spans="1:26" x14ac:dyDescent="0.2">
      <c r="A2" s="1"/>
      <c r="B2" s="1"/>
      <c r="C2" s="1"/>
      <c r="D2" s="1"/>
      <c r="E2" s="1"/>
      <c r="F2" s="1"/>
      <c r="G2" s="1"/>
      <c r="H2" s="1"/>
      <c r="I2" s="1"/>
      <c r="J2" s="1"/>
      <c r="K2" s="1"/>
      <c r="L2" s="1"/>
      <c r="M2" s="1"/>
      <c r="N2" s="1"/>
      <c r="O2" s="1"/>
      <c r="P2" s="1"/>
      <c r="Q2" s="1"/>
      <c r="R2" s="1"/>
      <c r="S2" s="1"/>
      <c r="T2" s="1"/>
      <c r="U2" s="1"/>
      <c r="V2" s="1"/>
      <c r="W2" s="1"/>
      <c r="X2" s="1"/>
      <c r="Y2" s="1"/>
      <c r="Z2" s="1"/>
    </row>
    <row r="3" spans="1:26" x14ac:dyDescent="0.2">
      <c r="A3" s="1"/>
      <c r="B3" s="4" t="s">
        <v>33</v>
      </c>
      <c r="C3" s="1"/>
      <c r="D3" s="1"/>
      <c r="E3" s="1"/>
      <c r="F3" s="1"/>
      <c r="G3" s="1"/>
      <c r="H3" s="1"/>
      <c r="I3" s="1"/>
      <c r="J3" s="1"/>
      <c r="K3" s="1"/>
      <c r="L3" s="1"/>
      <c r="M3" s="1"/>
      <c r="N3" s="1"/>
      <c r="O3" s="1"/>
      <c r="P3" s="1"/>
      <c r="Q3" s="1"/>
      <c r="R3" s="1"/>
      <c r="S3" s="1"/>
      <c r="T3" s="1"/>
      <c r="U3" s="1"/>
      <c r="V3" s="1"/>
      <c r="W3" s="1"/>
      <c r="X3" s="1"/>
      <c r="Y3" s="1"/>
      <c r="Z3" s="1"/>
    </row>
    <row r="4" spans="1:26" x14ac:dyDescent="0.2">
      <c r="A4" s="1"/>
      <c r="B4" s="5" t="s">
        <v>34</v>
      </c>
      <c r="C4" s="1"/>
      <c r="D4" s="1"/>
      <c r="E4" s="1"/>
      <c r="F4" s="1"/>
      <c r="G4" s="1"/>
      <c r="H4" s="1"/>
      <c r="I4" s="1"/>
      <c r="J4" s="1"/>
      <c r="K4" s="1"/>
      <c r="L4" s="1"/>
      <c r="M4" s="1"/>
      <c r="N4" s="1"/>
      <c r="O4" s="1"/>
      <c r="P4" s="1"/>
      <c r="Q4" s="1"/>
      <c r="R4" s="1"/>
      <c r="S4" s="1"/>
      <c r="T4" s="1"/>
      <c r="U4" s="1"/>
      <c r="V4" s="1"/>
      <c r="W4" s="1"/>
      <c r="X4" s="1"/>
      <c r="Y4" s="1"/>
      <c r="Z4" s="1"/>
    </row>
    <row r="5" spans="1:26" x14ac:dyDescent="0.2">
      <c r="A5" s="1"/>
      <c r="B5" s="1"/>
      <c r="C5" s="1"/>
      <c r="D5" s="1"/>
      <c r="E5" s="1"/>
      <c r="F5" s="1"/>
      <c r="G5" s="1"/>
      <c r="H5" s="1"/>
      <c r="I5" s="1"/>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1"/>
      <c r="B7" s="6" t="s">
        <v>35</v>
      </c>
      <c r="C7" s="1"/>
      <c r="D7" s="1"/>
      <c r="E7" s="1"/>
      <c r="F7" s="1"/>
      <c r="G7" s="1"/>
      <c r="H7" s="1"/>
      <c r="I7" s="1"/>
      <c r="J7" s="1"/>
      <c r="K7" s="1"/>
      <c r="L7" s="1"/>
      <c r="M7" s="1"/>
      <c r="N7" s="1"/>
      <c r="O7" s="1"/>
      <c r="P7" s="1"/>
      <c r="Q7" s="1"/>
      <c r="R7" s="1"/>
      <c r="S7" s="1"/>
      <c r="T7" s="1"/>
      <c r="U7" s="1"/>
      <c r="V7" s="1"/>
      <c r="W7" s="1"/>
      <c r="X7" s="1"/>
      <c r="Y7" s="1"/>
      <c r="Z7" s="1"/>
    </row>
    <row r="8" spans="1:26" x14ac:dyDescent="0.2">
      <c r="A8" s="1"/>
      <c r="B8" s="1" t="s">
        <v>36</v>
      </c>
      <c r="C8" s="1"/>
      <c r="D8" s="1"/>
      <c r="E8" s="1"/>
      <c r="F8" s="1"/>
      <c r="G8" s="1"/>
      <c r="H8" s="1"/>
      <c r="I8" s="1"/>
      <c r="J8" s="1"/>
      <c r="K8" s="1"/>
      <c r="L8" s="1"/>
      <c r="M8" s="1"/>
      <c r="N8" s="1"/>
      <c r="O8" s="1"/>
      <c r="P8" s="1"/>
      <c r="Q8" s="1"/>
      <c r="R8" s="1"/>
      <c r="S8" s="1"/>
      <c r="T8" s="1"/>
      <c r="U8" s="1"/>
      <c r="V8" s="1"/>
      <c r="W8" s="1"/>
      <c r="X8" s="1"/>
      <c r="Y8" s="1"/>
      <c r="Z8" s="1"/>
    </row>
    <row r="9" spans="1:26" x14ac:dyDescent="0.2">
      <c r="A9" s="1"/>
      <c r="B9" s="1" t="s">
        <v>38</v>
      </c>
      <c r="C9" s="1"/>
      <c r="D9" s="1"/>
      <c r="E9" s="1"/>
      <c r="F9" s="1"/>
      <c r="G9" s="1"/>
      <c r="H9" s="1"/>
      <c r="I9" s="1"/>
      <c r="J9" s="1"/>
      <c r="K9" s="1"/>
      <c r="L9" s="1"/>
      <c r="M9" s="1"/>
      <c r="N9" s="1"/>
      <c r="O9" s="1"/>
      <c r="P9" s="1"/>
      <c r="Q9" s="1"/>
      <c r="R9" s="1"/>
      <c r="S9" s="1"/>
      <c r="T9" s="1"/>
      <c r="U9" s="1"/>
      <c r="V9" s="1"/>
      <c r="W9" s="1"/>
      <c r="X9" s="1"/>
      <c r="Y9" s="1"/>
      <c r="Z9" s="1"/>
    </row>
    <row r="10" spans="1:26" x14ac:dyDescent="0.2">
      <c r="A10" s="1"/>
      <c r="B10" s="1" t="s">
        <v>42</v>
      </c>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6" t="s">
        <v>52</v>
      </c>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t="s">
        <v>57</v>
      </c>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2" t="s">
        <v>59</v>
      </c>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t="s">
        <v>61</v>
      </c>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36"/>
  <sheetViews>
    <sheetView tabSelected="1" workbookViewId="0">
      <selection activeCell="C40" sqref="C40"/>
    </sheetView>
  </sheetViews>
  <sheetFormatPr baseColWidth="10" defaultColWidth="12.6640625" defaultRowHeight="15.75" customHeight="1" x14ac:dyDescent="0.15"/>
  <cols>
    <col min="1" max="1" width="29" customWidth="1"/>
    <col min="2" max="2" width="31.33203125" customWidth="1"/>
    <col min="3" max="3" width="24.5" customWidth="1"/>
    <col min="4" max="4" width="19.5" customWidth="1"/>
    <col min="5" max="5" width="24.1640625" customWidth="1"/>
    <col min="6" max="6" width="17.83203125" customWidth="1"/>
    <col min="7" max="7" width="21" customWidth="1"/>
    <col min="8" max="8" width="12.1640625" customWidth="1"/>
    <col min="9" max="9" width="19.6640625" customWidth="1"/>
  </cols>
  <sheetData>
    <row r="1" spans="1:10" ht="15.75" customHeight="1" x14ac:dyDescent="0.15">
      <c r="A1" s="3" t="s">
        <v>3</v>
      </c>
      <c r="B1" s="3" t="s">
        <v>2</v>
      </c>
      <c r="C1" s="3" t="s">
        <v>11</v>
      </c>
      <c r="D1" s="3" t="s">
        <v>12</v>
      </c>
      <c r="E1" s="3" t="s">
        <v>15</v>
      </c>
      <c r="F1" s="3" t="s">
        <v>16</v>
      </c>
      <c r="G1" s="3" t="s">
        <v>19</v>
      </c>
      <c r="H1" s="3" t="s">
        <v>20</v>
      </c>
      <c r="I1" s="3" t="s">
        <v>22</v>
      </c>
      <c r="J1" s="3" t="s">
        <v>26</v>
      </c>
    </row>
    <row r="2" spans="1:10" ht="15.75" customHeight="1" x14ac:dyDescent="0.15">
      <c r="A2" s="3" t="s">
        <v>37</v>
      </c>
      <c r="B2" s="3" t="s">
        <v>5</v>
      </c>
      <c r="C2" s="3" t="s">
        <v>40</v>
      </c>
      <c r="D2" s="3" t="s">
        <v>51</v>
      </c>
      <c r="E2" s="3" t="s">
        <v>54</v>
      </c>
      <c r="F2" s="8">
        <v>43714</v>
      </c>
      <c r="G2" s="3" t="s">
        <v>56</v>
      </c>
      <c r="H2" s="3" t="s">
        <v>58</v>
      </c>
      <c r="I2" s="10">
        <v>48989.32</v>
      </c>
      <c r="J2" s="3" t="str">
        <f>IFERROR(VLOOKUP(B2, People!A:B, 2, FALSE), "")</f>
        <v>Alice Chen</v>
      </c>
    </row>
    <row r="3" spans="1:10" ht="15.75" customHeight="1" x14ac:dyDescent="0.15">
      <c r="A3" s="3" t="s">
        <v>37</v>
      </c>
      <c r="B3" s="3" t="s">
        <v>5</v>
      </c>
      <c r="C3" s="3" t="s">
        <v>40</v>
      </c>
      <c r="D3" s="3" t="s">
        <v>51</v>
      </c>
      <c r="E3" s="3" t="s">
        <v>54</v>
      </c>
      <c r="F3" s="8">
        <v>43714</v>
      </c>
      <c r="G3" s="3" t="s">
        <v>56</v>
      </c>
      <c r="H3" s="3" t="s">
        <v>60</v>
      </c>
      <c r="I3" s="10">
        <v>36741.99</v>
      </c>
      <c r="J3" s="3" t="str">
        <f>IFERROR(VLOOKUP(B3, People!A:B, 2, FALSE), "")</f>
        <v>Alice Chen</v>
      </c>
    </row>
    <row r="4" spans="1:10" ht="15.75" customHeight="1" x14ac:dyDescent="0.15">
      <c r="A4" s="3" t="s">
        <v>37</v>
      </c>
      <c r="B4" s="3" t="s">
        <v>5</v>
      </c>
      <c r="C4" s="3" t="s">
        <v>40</v>
      </c>
      <c r="D4" s="3" t="s">
        <v>51</v>
      </c>
      <c r="E4" s="3" t="s">
        <v>54</v>
      </c>
      <c r="F4" s="8">
        <v>43714</v>
      </c>
      <c r="G4" s="3" t="s">
        <v>56</v>
      </c>
      <c r="H4" s="3" t="s">
        <v>64</v>
      </c>
      <c r="I4" s="10">
        <v>24494.66</v>
      </c>
      <c r="J4" s="3" t="str">
        <f>IFERROR(VLOOKUP(B4, People!A:B, 2, FALSE), "")</f>
        <v>Alice Chen</v>
      </c>
    </row>
    <row r="5" spans="1:10" ht="15.75" customHeight="1" x14ac:dyDescent="0.15">
      <c r="A5" s="3" t="s">
        <v>37</v>
      </c>
      <c r="B5" s="3" t="s">
        <v>5</v>
      </c>
      <c r="C5" s="3" t="s">
        <v>40</v>
      </c>
      <c r="D5" s="3" t="s">
        <v>51</v>
      </c>
      <c r="E5" s="3" t="s">
        <v>54</v>
      </c>
      <c r="F5" s="8">
        <v>43714</v>
      </c>
      <c r="G5" s="3" t="s">
        <v>56</v>
      </c>
      <c r="H5" s="3" t="s">
        <v>64</v>
      </c>
      <c r="I5" s="10">
        <v>24494.66</v>
      </c>
      <c r="J5" s="3" t="str">
        <f>IFERROR(VLOOKUP(B5, People!A:B, 2, FALSE), "")</f>
        <v>Alice Chen</v>
      </c>
    </row>
    <row r="6" spans="1:10" ht="15.75" customHeight="1" x14ac:dyDescent="0.15">
      <c r="A6" s="3" t="s">
        <v>73</v>
      </c>
      <c r="B6" s="3" t="s">
        <v>7</v>
      </c>
      <c r="C6" s="3" t="s">
        <v>40</v>
      </c>
      <c r="D6" s="3" t="s">
        <v>51</v>
      </c>
      <c r="E6" s="3" t="s">
        <v>75</v>
      </c>
      <c r="F6" s="8">
        <v>43567</v>
      </c>
      <c r="G6" s="3" t="s">
        <v>56</v>
      </c>
      <c r="H6" s="3" t="s">
        <v>60</v>
      </c>
      <c r="I6" s="10">
        <v>8461.7900000000009</v>
      </c>
      <c r="J6" s="3" t="str">
        <f>IFERROR(VLOOKUP(B6, People!A:B, 2, FALSE), "")</f>
        <v>Bob Smith</v>
      </c>
    </row>
    <row r="7" spans="1:10" ht="15.75" customHeight="1" x14ac:dyDescent="0.15">
      <c r="A7" s="3" t="s">
        <v>73</v>
      </c>
      <c r="B7" s="3" t="s">
        <v>7</v>
      </c>
      <c r="C7" s="3" t="s">
        <v>40</v>
      </c>
      <c r="D7" s="3" t="s">
        <v>51</v>
      </c>
      <c r="E7" s="3" t="s">
        <v>75</v>
      </c>
      <c r="F7" s="8">
        <v>43567</v>
      </c>
      <c r="G7" s="3" t="s">
        <v>56</v>
      </c>
      <c r="H7" s="3" t="s">
        <v>64</v>
      </c>
      <c r="I7" s="10">
        <v>5641.19</v>
      </c>
      <c r="J7" s="3" t="str">
        <f>IFERROR(VLOOKUP(B7, People!A:B, 2, FALSE), "")</f>
        <v>Bob Smith</v>
      </c>
    </row>
    <row r="8" spans="1:10" ht="15.75" customHeight="1" x14ac:dyDescent="0.15">
      <c r="A8" s="3" t="s">
        <v>73</v>
      </c>
      <c r="B8" s="3" t="s">
        <v>7</v>
      </c>
      <c r="C8" s="3" t="s">
        <v>40</v>
      </c>
      <c r="D8" s="3" t="s">
        <v>51</v>
      </c>
      <c r="E8" s="3" t="s">
        <v>75</v>
      </c>
      <c r="F8" s="8">
        <v>43567</v>
      </c>
      <c r="G8" s="3" t="s">
        <v>56</v>
      </c>
      <c r="H8" s="3" t="s">
        <v>64</v>
      </c>
      <c r="I8" s="10">
        <v>2820.6</v>
      </c>
      <c r="J8" s="3" t="str">
        <f>IFERROR(VLOOKUP(B8, People!A:B, 2, FALSE), "")</f>
        <v>Bob Smith</v>
      </c>
    </row>
    <row r="9" spans="1:10" ht="15.75" customHeight="1" x14ac:dyDescent="0.15">
      <c r="A9" s="3" t="s">
        <v>76</v>
      </c>
      <c r="B9" s="3" t="s">
        <v>9</v>
      </c>
      <c r="C9" s="3" t="s">
        <v>40</v>
      </c>
      <c r="D9" s="3" t="s">
        <v>63</v>
      </c>
      <c r="E9" s="3" t="s">
        <v>54</v>
      </c>
      <c r="F9" s="8">
        <v>43549</v>
      </c>
      <c r="G9" s="3" t="s">
        <v>56</v>
      </c>
      <c r="H9" s="3" t="s">
        <v>58</v>
      </c>
      <c r="I9" s="10">
        <v>17421.98</v>
      </c>
      <c r="J9" s="3" t="str">
        <f>IFERROR(VLOOKUP(B9, People!A:B, 2, FALSE), "")</f>
        <v>Charlie Day</v>
      </c>
    </row>
    <row r="10" spans="1:10" ht="15.75" customHeight="1" x14ac:dyDescent="0.15">
      <c r="A10" s="3" t="s">
        <v>76</v>
      </c>
      <c r="B10" s="3" t="s">
        <v>9</v>
      </c>
      <c r="C10" s="3" t="s">
        <v>40</v>
      </c>
      <c r="D10" s="3" t="s">
        <v>63</v>
      </c>
      <c r="E10" s="3" t="s">
        <v>54</v>
      </c>
      <c r="F10" s="8">
        <v>43549</v>
      </c>
      <c r="G10" s="3" t="s">
        <v>56</v>
      </c>
      <c r="H10" s="3" t="s">
        <v>58</v>
      </c>
      <c r="I10" s="10">
        <v>52264.52</v>
      </c>
      <c r="J10" s="3" t="str">
        <f>IFERROR(VLOOKUP(B10, People!A:B, 2, FALSE), "")</f>
        <v>Charlie Day</v>
      </c>
    </row>
    <row r="11" spans="1:10" ht="15.75" customHeight="1" x14ac:dyDescent="0.15">
      <c r="A11" s="3" t="s">
        <v>76</v>
      </c>
      <c r="B11" s="3" t="s">
        <v>9</v>
      </c>
      <c r="C11" s="3" t="s">
        <v>40</v>
      </c>
      <c r="D11" s="3" t="s">
        <v>63</v>
      </c>
      <c r="E11" s="3" t="s">
        <v>54</v>
      </c>
      <c r="F11" s="8">
        <v>43549</v>
      </c>
      <c r="G11" s="3" t="s">
        <v>56</v>
      </c>
      <c r="H11" s="3" t="s">
        <v>60</v>
      </c>
      <c r="I11" s="10">
        <v>52264.52</v>
      </c>
      <c r="J11" s="3" t="str">
        <f>IFERROR(VLOOKUP(B11, People!A:B, 2, FALSE), "")</f>
        <v>Charlie Day</v>
      </c>
    </row>
    <row r="12" spans="1:10" ht="15.75" customHeight="1" x14ac:dyDescent="0.15">
      <c r="A12" s="3" t="s">
        <v>76</v>
      </c>
      <c r="B12" s="3" t="s">
        <v>9</v>
      </c>
      <c r="C12" s="3" t="s">
        <v>40</v>
      </c>
      <c r="D12" s="3" t="s">
        <v>63</v>
      </c>
      <c r="E12" s="3" t="s">
        <v>54</v>
      </c>
      <c r="F12" s="8">
        <v>43549</v>
      </c>
      <c r="G12" s="3" t="s">
        <v>56</v>
      </c>
      <c r="H12" s="3" t="s">
        <v>64</v>
      </c>
      <c r="I12" s="10">
        <v>17421.98</v>
      </c>
      <c r="J12" s="3" t="str">
        <f>IFERROR(VLOOKUP(B12, People!A:B, 2, FALSE), "")</f>
        <v>Charlie Day</v>
      </c>
    </row>
    <row r="13" spans="1:10" ht="15.75" customHeight="1" x14ac:dyDescent="0.15">
      <c r="A13" s="3" t="s">
        <v>76</v>
      </c>
      <c r="B13" s="3" t="s">
        <v>9</v>
      </c>
      <c r="C13" s="3" t="s">
        <v>40</v>
      </c>
      <c r="D13" s="3" t="s">
        <v>63</v>
      </c>
      <c r="E13" s="3" t="s">
        <v>54</v>
      </c>
      <c r="F13" s="8">
        <v>43549</v>
      </c>
      <c r="G13" s="3" t="s">
        <v>56</v>
      </c>
      <c r="H13" s="3" t="s">
        <v>64</v>
      </c>
      <c r="I13" s="10">
        <v>17421.98</v>
      </c>
      <c r="J13" s="3" t="str">
        <f>IFERROR(VLOOKUP(B13, People!A:B, 2, FALSE), "")</f>
        <v>Charlie Day</v>
      </c>
    </row>
    <row r="14" spans="1:10" ht="15.75" customHeight="1" x14ac:dyDescent="0.15">
      <c r="A14" s="3" t="s">
        <v>80</v>
      </c>
      <c r="B14" s="3" t="s">
        <v>13</v>
      </c>
      <c r="C14" s="3" t="s">
        <v>40</v>
      </c>
      <c r="D14" s="3" t="s">
        <v>63</v>
      </c>
      <c r="E14" s="3" t="s">
        <v>75</v>
      </c>
      <c r="F14" s="8">
        <v>43546</v>
      </c>
      <c r="G14" s="3" t="s">
        <v>56</v>
      </c>
      <c r="H14" s="3" t="s">
        <v>60</v>
      </c>
      <c r="I14" s="10">
        <v>16102.8</v>
      </c>
      <c r="J14" s="3" t="str">
        <f>IFERROR(VLOOKUP(B14, People!A:B, 2, FALSE), "")</f>
        <v>Diana Prince</v>
      </c>
    </row>
    <row r="15" spans="1:10" ht="15.75" customHeight="1" x14ac:dyDescent="0.15">
      <c r="A15" s="3" t="s">
        <v>81</v>
      </c>
      <c r="B15" s="3" t="s">
        <v>5</v>
      </c>
      <c r="C15" s="3" t="s">
        <v>40</v>
      </c>
      <c r="D15" s="3" t="s">
        <v>51</v>
      </c>
      <c r="E15" s="3" t="s">
        <v>75</v>
      </c>
      <c r="F15" s="8">
        <v>43591</v>
      </c>
      <c r="G15" s="3" t="s">
        <v>56</v>
      </c>
      <c r="H15" s="3" t="s">
        <v>60</v>
      </c>
      <c r="I15" s="10">
        <v>19595.73</v>
      </c>
      <c r="J15" s="3" t="str">
        <f>IFERROR(VLOOKUP(B15, People!A:B, 2, FALSE), "")</f>
        <v>Alice Chen</v>
      </c>
    </row>
    <row r="16" spans="1:10" ht="15.75" customHeight="1" x14ac:dyDescent="0.15">
      <c r="A16" s="3" t="s">
        <v>81</v>
      </c>
      <c r="B16" s="3" t="s">
        <v>5</v>
      </c>
      <c r="C16" s="3" t="s">
        <v>40</v>
      </c>
      <c r="D16" s="3" t="s">
        <v>51</v>
      </c>
      <c r="E16" s="3" t="s">
        <v>75</v>
      </c>
      <c r="F16" s="8">
        <v>43591</v>
      </c>
      <c r="G16" s="3" t="s">
        <v>56</v>
      </c>
      <c r="H16" s="3" t="s">
        <v>64</v>
      </c>
      <c r="I16" s="10">
        <v>10234.969999999999</v>
      </c>
      <c r="J16" s="3" t="str">
        <f>IFERROR(VLOOKUP(B16, People!A:B, 2, FALSE), "")</f>
        <v>Alice Chen</v>
      </c>
    </row>
    <row r="17" spans="1:10" ht="15.75" customHeight="1" x14ac:dyDescent="0.15">
      <c r="A17" s="3" t="s">
        <v>81</v>
      </c>
      <c r="B17" s="3" t="s">
        <v>5</v>
      </c>
      <c r="C17" s="3" t="s">
        <v>40</v>
      </c>
      <c r="D17" s="3" t="s">
        <v>51</v>
      </c>
      <c r="E17" s="3" t="s">
        <v>75</v>
      </c>
      <c r="F17" s="8">
        <v>43591</v>
      </c>
      <c r="G17" s="3" t="s">
        <v>56</v>
      </c>
      <c r="H17" s="3" t="s">
        <v>64</v>
      </c>
      <c r="I17" s="10">
        <v>5117.49</v>
      </c>
      <c r="J17" s="3" t="str">
        <f>IFERROR(VLOOKUP(B17, People!A:B, 2, FALSE), "")</f>
        <v>Alice Chen</v>
      </c>
    </row>
    <row r="18" spans="1:10" ht="15.75" customHeight="1" x14ac:dyDescent="0.15">
      <c r="A18" s="3" t="s">
        <v>84</v>
      </c>
      <c r="B18" s="3" t="s">
        <v>17</v>
      </c>
      <c r="C18" s="3" t="s">
        <v>43</v>
      </c>
      <c r="D18" s="3" t="s">
        <v>63</v>
      </c>
      <c r="E18" s="3" t="s">
        <v>75</v>
      </c>
      <c r="F18" s="8">
        <v>43620</v>
      </c>
      <c r="G18" s="3" t="s">
        <v>56</v>
      </c>
      <c r="H18" s="3" t="s">
        <v>64</v>
      </c>
      <c r="I18" s="10">
        <v>8560.9</v>
      </c>
      <c r="J18" s="3" t="str">
        <f>IFERROR(VLOOKUP(B18, People!A:B, 2, FALSE), "")</f>
        <v>Edward Nygma</v>
      </c>
    </row>
    <row r="19" spans="1:10" ht="15.75" customHeight="1" x14ac:dyDescent="0.15">
      <c r="A19" s="3" t="s">
        <v>84</v>
      </c>
      <c r="B19" s="3" t="s">
        <v>17</v>
      </c>
      <c r="C19" s="3" t="s">
        <v>43</v>
      </c>
      <c r="D19" s="3" t="s">
        <v>63</v>
      </c>
      <c r="E19" s="3" t="s">
        <v>75</v>
      </c>
      <c r="F19" s="8">
        <v>43620</v>
      </c>
      <c r="G19" s="3" t="s">
        <v>56</v>
      </c>
      <c r="H19" s="3" t="s">
        <v>64</v>
      </c>
      <c r="I19" s="10">
        <v>5466.43</v>
      </c>
      <c r="J19" s="3" t="str">
        <f>IFERROR(VLOOKUP(B19, People!A:B, 2, FALSE), "")</f>
        <v>Edward Nygma</v>
      </c>
    </row>
    <row r="20" spans="1:10" ht="15.75" customHeight="1" x14ac:dyDescent="0.15">
      <c r="A20" s="3" t="s">
        <v>85</v>
      </c>
      <c r="B20" s="3" t="s">
        <v>21</v>
      </c>
      <c r="C20" s="3" t="s">
        <v>40</v>
      </c>
      <c r="D20" s="3" t="s">
        <v>63</v>
      </c>
      <c r="E20" s="3" t="s">
        <v>75</v>
      </c>
      <c r="F20" s="8">
        <v>43630</v>
      </c>
      <c r="G20" s="3" t="s">
        <v>56</v>
      </c>
      <c r="H20" s="3" t="s">
        <v>58</v>
      </c>
      <c r="I20" s="10">
        <v>1226.8800000000001</v>
      </c>
      <c r="J20" s="3" t="str">
        <f>IFERROR(VLOOKUP(B20, People!A:B, 2, FALSE), "")</f>
        <v>Fiona Gallagher</v>
      </c>
    </row>
    <row r="21" spans="1:10" ht="15.75" customHeight="1" x14ac:dyDescent="0.15">
      <c r="A21" s="3" t="s">
        <v>85</v>
      </c>
      <c r="B21" s="3" t="s">
        <v>21</v>
      </c>
      <c r="C21" s="3" t="s">
        <v>40</v>
      </c>
      <c r="D21" s="3" t="s">
        <v>63</v>
      </c>
      <c r="E21" s="3" t="s">
        <v>75</v>
      </c>
      <c r="F21" s="8">
        <v>43630</v>
      </c>
      <c r="G21" s="3" t="s">
        <v>56</v>
      </c>
      <c r="H21" s="3" t="s">
        <v>60</v>
      </c>
      <c r="I21" s="3">
        <v>858.82</v>
      </c>
      <c r="J21" s="3" t="str">
        <f>IFERROR(VLOOKUP(B21, People!A:B, 2, FALSE), "")</f>
        <v>Fiona Gallagher</v>
      </c>
    </row>
    <row r="22" spans="1:10" ht="15.75" customHeight="1" x14ac:dyDescent="0.15">
      <c r="A22" s="3" t="s">
        <v>85</v>
      </c>
      <c r="B22" s="3" t="s">
        <v>21</v>
      </c>
      <c r="C22" s="3" t="s">
        <v>40</v>
      </c>
      <c r="D22" s="3" t="s">
        <v>63</v>
      </c>
      <c r="E22" s="3" t="s">
        <v>75</v>
      </c>
      <c r="F22" s="8">
        <v>43630</v>
      </c>
      <c r="G22" s="3" t="s">
        <v>56</v>
      </c>
      <c r="H22" s="3" t="s">
        <v>64</v>
      </c>
      <c r="I22" s="3">
        <v>286.27</v>
      </c>
      <c r="J22" s="3" t="str">
        <f>IFERROR(VLOOKUP(B22, People!A:B, 2, FALSE), "")</f>
        <v>Fiona Gallagher</v>
      </c>
    </row>
    <row r="23" spans="1:10" ht="15.75" customHeight="1" x14ac:dyDescent="0.15">
      <c r="A23" s="3" t="s">
        <v>85</v>
      </c>
      <c r="B23" s="3" t="s">
        <v>21</v>
      </c>
      <c r="C23" s="3" t="s">
        <v>40</v>
      </c>
      <c r="D23" s="3" t="s">
        <v>63</v>
      </c>
      <c r="E23" s="3" t="s">
        <v>75</v>
      </c>
      <c r="F23" s="8">
        <v>43630</v>
      </c>
      <c r="G23" s="3" t="s">
        <v>56</v>
      </c>
      <c r="H23" s="3" t="s">
        <v>64</v>
      </c>
      <c r="I23" s="3">
        <v>143.13999999999999</v>
      </c>
      <c r="J23" s="3" t="str">
        <f>IFERROR(VLOOKUP(B23, People!A:B, 2, FALSE), "")</f>
        <v>Fiona Gallagher</v>
      </c>
    </row>
    <row r="24" spans="1:10" ht="15.75" customHeight="1" x14ac:dyDescent="0.15">
      <c r="A24" s="3" t="s">
        <v>90</v>
      </c>
      <c r="B24" s="3" t="s">
        <v>25</v>
      </c>
      <c r="C24" s="3" t="s">
        <v>40</v>
      </c>
      <c r="D24" s="3" t="s">
        <v>51</v>
      </c>
      <c r="E24" s="3" t="s">
        <v>75</v>
      </c>
      <c r="F24" s="8">
        <v>43620</v>
      </c>
      <c r="G24" s="3" t="s">
        <v>56</v>
      </c>
      <c r="H24" s="3" t="s">
        <v>64</v>
      </c>
      <c r="I24" s="10">
        <v>2375.2399999999998</v>
      </c>
      <c r="J24" s="3" t="str">
        <f>IFERROR(VLOOKUP(B24, People!A:B, 2, FALSE), "")</f>
        <v>George Bluth</v>
      </c>
    </row>
    <row r="25" spans="1:10" ht="15.75" customHeight="1" x14ac:dyDescent="0.15">
      <c r="A25" s="3" t="s">
        <v>90</v>
      </c>
      <c r="B25" s="3" t="s">
        <v>25</v>
      </c>
      <c r="C25" s="3" t="s">
        <v>40</v>
      </c>
      <c r="D25" s="3" t="s">
        <v>51</v>
      </c>
      <c r="E25" s="3" t="s">
        <v>75</v>
      </c>
      <c r="F25" s="8">
        <v>43620</v>
      </c>
      <c r="G25" s="3" t="s">
        <v>56</v>
      </c>
      <c r="H25" s="3" t="s">
        <v>64</v>
      </c>
      <c r="I25" s="10">
        <v>2375.2399999999998</v>
      </c>
      <c r="J25" s="3" t="str">
        <f>IFERROR(VLOOKUP(B25, People!A:B, 2, FALSE), "")</f>
        <v>George Bluth</v>
      </c>
    </row>
    <row r="26" spans="1:10" ht="15.75" customHeight="1" x14ac:dyDescent="0.15">
      <c r="A26" s="3" t="s">
        <v>99</v>
      </c>
      <c r="B26" s="3" t="s">
        <v>28</v>
      </c>
      <c r="C26" s="3" t="s">
        <v>41</v>
      </c>
      <c r="D26" s="3" t="s">
        <v>51</v>
      </c>
      <c r="E26" s="3" t="s">
        <v>75</v>
      </c>
      <c r="F26" s="8">
        <v>43644</v>
      </c>
      <c r="G26" s="3" t="s">
        <v>56</v>
      </c>
      <c r="H26" s="3" t="s">
        <v>60</v>
      </c>
      <c r="I26" s="10">
        <v>65446.93</v>
      </c>
      <c r="J26" s="3" t="str">
        <f>IFERROR(VLOOKUP(B26, People!A:B, 2, FALSE), "")</f>
        <v>Hannah Abbott</v>
      </c>
    </row>
    <row r="27" spans="1:10" ht="15.75" customHeight="1" x14ac:dyDescent="0.15">
      <c r="A27" s="3" t="s">
        <v>99</v>
      </c>
      <c r="B27" s="3" t="s">
        <v>28</v>
      </c>
      <c r="C27" s="3" t="s">
        <v>41</v>
      </c>
      <c r="D27" s="3" t="s">
        <v>51</v>
      </c>
      <c r="E27" s="3" t="s">
        <v>75</v>
      </c>
      <c r="F27" s="8">
        <v>43644</v>
      </c>
      <c r="G27" s="3" t="s">
        <v>56</v>
      </c>
      <c r="H27" s="3" t="s">
        <v>64</v>
      </c>
      <c r="I27" s="10">
        <v>10070.030000000001</v>
      </c>
      <c r="J27" s="3" t="str">
        <f>IFERROR(VLOOKUP(B27, People!A:B, 2, FALSE), "")</f>
        <v>Hannah Abbott</v>
      </c>
    </row>
    <row r="28" spans="1:10" ht="15.75" customHeight="1" x14ac:dyDescent="0.15">
      <c r="A28" s="3" t="s">
        <v>99</v>
      </c>
      <c r="B28" s="3" t="s">
        <v>28</v>
      </c>
      <c r="C28" s="3" t="s">
        <v>41</v>
      </c>
      <c r="D28" s="3" t="s">
        <v>51</v>
      </c>
      <c r="E28" s="3" t="s">
        <v>75</v>
      </c>
      <c r="F28" s="8">
        <v>43644</v>
      </c>
      <c r="G28" s="3" t="s">
        <v>56</v>
      </c>
      <c r="H28" s="3" t="s">
        <v>64</v>
      </c>
      <c r="I28" s="10">
        <v>5035.01</v>
      </c>
      <c r="J28" s="3" t="str">
        <f>IFERROR(VLOOKUP(B28, People!A:B, 2, FALSE), "")</f>
        <v>Hannah Abbott</v>
      </c>
    </row>
    <row r="29" spans="1:10" ht="15.75" customHeight="1" x14ac:dyDescent="0.15">
      <c r="A29" s="3" t="s">
        <v>104</v>
      </c>
      <c r="B29" s="3" t="s">
        <v>25</v>
      </c>
      <c r="C29" s="3" t="s">
        <v>40</v>
      </c>
      <c r="D29" s="3" t="s">
        <v>51</v>
      </c>
      <c r="E29" s="3" t="s">
        <v>75</v>
      </c>
      <c r="F29" s="8">
        <v>43761</v>
      </c>
      <c r="G29" s="3" t="s">
        <v>56</v>
      </c>
      <c r="H29" s="3" t="s">
        <v>58</v>
      </c>
      <c r="I29" s="10">
        <v>126192.86</v>
      </c>
      <c r="J29" s="3" t="str">
        <f>IFERROR(VLOOKUP(B29, People!A:B, 2, FALSE), "")</f>
        <v>George Bluth</v>
      </c>
    </row>
    <row r="30" spans="1:10" ht="15.75" customHeight="1" x14ac:dyDescent="0.15">
      <c r="A30" s="3" t="s">
        <v>110</v>
      </c>
      <c r="B30" s="3" t="s">
        <v>31</v>
      </c>
      <c r="C30" s="3" t="s">
        <v>40</v>
      </c>
      <c r="D30" s="3" t="s">
        <v>51</v>
      </c>
      <c r="E30" s="3" t="s">
        <v>75</v>
      </c>
      <c r="F30" s="8">
        <v>43741</v>
      </c>
      <c r="G30" s="3" t="s">
        <v>56</v>
      </c>
      <c r="H30" s="3" t="s">
        <v>58</v>
      </c>
      <c r="I30" s="10">
        <v>23154.46</v>
      </c>
      <c r="J30" s="3" t="str">
        <f>IFERROR(VLOOKUP(B30, People!A:B, 2, FALSE), "")</f>
        <v>Ian Wright</v>
      </c>
    </row>
    <row r="31" spans="1:10" ht="15.75" customHeight="1" x14ac:dyDescent="0.15">
      <c r="A31" s="3" t="s">
        <v>110</v>
      </c>
      <c r="B31" s="3" t="s">
        <v>31</v>
      </c>
      <c r="C31" s="3" t="s">
        <v>40</v>
      </c>
      <c r="D31" s="3" t="s">
        <v>51</v>
      </c>
      <c r="E31" s="3" t="s">
        <v>75</v>
      </c>
      <c r="F31" s="8">
        <v>43741</v>
      </c>
      <c r="G31" s="3" t="s">
        <v>56</v>
      </c>
      <c r="H31" s="3" t="s">
        <v>60</v>
      </c>
      <c r="I31" s="10">
        <v>17364.82</v>
      </c>
      <c r="J31" s="3" t="str">
        <f>IFERROR(VLOOKUP(B31, People!A:B, 2, FALSE), "")</f>
        <v>Ian Wright</v>
      </c>
    </row>
    <row r="32" spans="1:10" ht="15.75" customHeight="1" x14ac:dyDescent="0.15">
      <c r="A32" s="3" t="s">
        <v>110</v>
      </c>
      <c r="B32" s="3" t="s">
        <v>31</v>
      </c>
      <c r="C32" s="3" t="s">
        <v>40</v>
      </c>
      <c r="D32" s="3" t="s">
        <v>51</v>
      </c>
      <c r="E32" s="3" t="s">
        <v>75</v>
      </c>
      <c r="F32" s="8">
        <v>43741</v>
      </c>
      <c r="G32" s="3" t="s">
        <v>56</v>
      </c>
      <c r="H32" s="3" t="s">
        <v>64</v>
      </c>
      <c r="I32" s="10">
        <v>5789.65</v>
      </c>
      <c r="J32" s="3" t="str">
        <f>IFERROR(VLOOKUP(B32, People!A:B, 2, FALSE), "")</f>
        <v>Ian Wright</v>
      </c>
    </row>
    <row r="33" spans="1:10" ht="15.75" customHeight="1" x14ac:dyDescent="0.15">
      <c r="A33" s="3" t="s">
        <v>110</v>
      </c>
      <c r="B33" s="3" t="s">
        <v>31</v>
      </c>
      <c r="C33" s="3" t="s">
        <v>40</v>
      </c>
      <c r="D33" s="3" t="s">
        <v>51</v>
      </c>
      <c r="E33" s="3" t="s">
        <v>75</v>
      </c>
      <c r="F33" s="8">
        <v>43741</v>
      </c>
      <c r="G33" s="3" t="s">
        <v>56</v>
      </c>
      <c r="H33" s="3" t="s">
        <v>64</v>
      </c>
      <c r="I33" s="10">
        <v>2894.82</v>
      </c>
      <c r="J33" s="3" t="str">
        <f>IFERROR(VLOOKUP(B33, People!A:B, 2, FALSE), "")</f>
        <v>Ian Wright</v>
      </c>
    </row>
    <row r="34" spans="1:10" ht="15.75" customHeight="1" x14ac:dyDescent="0.15">
      <c r="A34" s="3" t="s">
        <v>111</v>
      </c>
      <c r="B34" s="3" t="s">
        <v>7</v>
      </c>
      <c r="C34" s="3" t="s">
        <v>40</v>
      </c>
      <c r="D34" s="3" t="s">
        <v>51</v>
      </c>
      <c r="E34" s="3" t="s">
        <v>75</v>
      </c>
      <c r="F34" s="8">
        <v>43755</v>
      </c>
      <c r="G34" s="3" t="s">
        <v>56</v>
      </c>
      <c r="H34" s="3" t="s">
        <v>60</v>
      </c>
      <c r="I34" s="10">
        <v>3859.76</v>
      </c>
      <c r="J34" s="3" t="str">
        <f>IFERROR(VLOOKUP(B34, People!A:B, 2, FALSE), "")</f>
        <v>Bob Smith</v>
      </c>
    </row>
    <row r="35" spans="1:10" ht="15.75" customHeight="1" x14ac:dyDescent="0.15">
      <c r="A35" s="3" t="s">
        <v>112</v>
      </c>
      <c r="B35" s="3" t="s">
        <v>113</v>
      </c>
      <c r="C35" s="3" t="s">
        <v>41</v>
      </c>
      <c r="D35" s="3" t="s">
        <v>51</v>
      </c>
      <c r="E35" s="3" t="s">
        <v>54</v>
      </c>
      <c r="F35" s="8">
        <v>44056</v>
      </c>
      <c r="G35" s="3" t="s">
        <v>114</v>
      </c>
      <c r="H35" s="3" t="s">
        <v>115</v>
      </c>
      <c r="I35" s="10">
        <v>116545.51</v>
      </c>
      <c r="J35" s="3" t="str">
        <f>IFERROR(VLOOKUP(B35, People!A:B, 2, FALSE), "")</f>
        <v/>
      </c>
    </row>
    <row r="36" spans="1:10" ht="15.75" customHeight="1" x14ac:dyDescent="0.15">
      <c r="A36" s="3" t="s">
        <v>112</v>
      </c>
      <c r="B36" s="3" t="s">
        <v>113</v>
      </c>
      <c r="C36" s="3" t="s">
        <v>41</v>
      </c>
      <c r="D36" s="3" t="s">
        <v>51</v>
      </c>
      <c r="E36" s="3" t="s">
        <v>54</v>
      </c>
      <c r="F36" s="8">
        <v>44056</v>
      </c>
      <c r="G36" s="3" t="s">
        <v>114</v>
      </c>
      <c r="H36" s="3" t="s">
        <v>115</v>
      </c>
      <c r="I36" s="10">
        <v>22199.14</v>
      </c>
      <c r="J36" s="3" t="str">
        <f>IFERROR(VLOOKUP(B36, People!A:B, 2, FALSE), "")</f>
        <v/>
      </c>
    </row>
    <row r="37" spans="1:10" ht="15.75" customHeight="1" x14ac:dyDescent="0.15">
      <c r="A37" s="3" t="s">
        <v>112</v>
      </c>
      <c r="B37" s="3" t="s">
        <v>113</v>
      </c>
      <c r="C37" s="3" t="s">
        <v>41</v>
      </c>
      <c r="D37" s="3" t="s">
        <v>51</v>
      </c>
      <c r="E37" s="3" t="s">
        <v>54</v>
      </c>
      <c r="F37" s="8">
        <v>44056</v>
      </c>
      <c r="G37" s="3" t="s">
        <v>114</v>
      </c>
      <c r="H37" s="3" t="s">
        <v>115</v>
      </c>
      <c r="I37" s="10">
        <v>22199.14</v>
      </c>
      <c r="J37" s="3" t="str">
        <f>IFERROR(VLOOKUP(B37, People!A:B, 2, FALSE), "")</f>
        <v/>
      </c>
    </row>
    <row r="38" spans="1:10" ht="15.75" customHeight="1" x14ac:dyDescent="0.15">
      <c r="A38" s="3" t="s">
        <v>116</v>
      </c>
      <c r="B38" s="3" t="s">
        <v>117</v>
      </c>
      <c r="C38" s="3" t="s">
        <v>43</v>
      </c>
      <c r="D38" s="3" t="s">
        <v>63</v>
      </c>
      <c r="E38" s="3" t="s">
        <v>75</v>
      </c>
      <c r="F38" s="8">
        <v>43810</v>
      </c>
      <c r="G38" s="3" t="s">
        <v>56</v>
      </c>
      <c r="H38" s="3" t="s">
        <v>58</v>
      </c>
      <c r="I38" s="10">
        <v>4363.9399999999996</v>
      </c>
      <c r="J38" s="3" t="str">
        <f>IFERROR(VLOOKUP(B38, People!A:B, 2, FALSE), "")</f>
        <v/>
      </c>
    </row>
    <row r="39" spans="1:10" ht="15.75" customHeight="1" x14ac:dyDescent="0.15">
      <c r="A39" s="3" t="s">
        <v>118</v>
      </c>
      <c r="B39" s="3" t="s">
        <v>119</v>
      </c>
      <c r="C39" s="3" t="s">
        <v>40</v>
      </c>
      <c r="D39" s="3" t="s">
        <v>51</v>
      </c>
      <c r="E39" s="3" t="s">
        <v>54</v>
      </c>
      <c r="F39" s="8">
        <v>43860</v>
      </c>
      <c r="G39" s="3" t="s">
        <v>56</v>
      </c>
      <c r="H39" s="3" t="s">
        <v>64</v>
      </c>
      <c r="I39" s="10">
        <v>2886.58</v>
      </c>
      <c r="J39" s="3" t="str">
        <f>IFERROR(VLOOKUP(B39, People!A:B, 2, FALSE), "")</f>
        <v/>
      </c>
    </row>
    <row r="40" spans="1:10" ht="15.75" customHeight="1" x14ac:dyDescent="0.15">
      <c r="A40" s="3" t="s">
        <v>118</v>
      </c>
      <c r="B40" s="3" t="s">
        <v>119</v>
      </c>
      <c r="C40" s="3" t="s">
        <v>40</v>
      </c>
      <c r="D40" s="3" t="s">
        <v>51</v>
      </c>
      <c r="E40" s="3" t="s">
        <v>54</v>
      </c>
      <c r="F40" s="8">
        <v>43860</v>
      </c>
      <c r="G40" s="3" t="s">
        <v>56</v>
      </c>
      <c r="H40" s="3" t="s">
        <v>64</v>
      </c>
      <c r="I40" s="10">
        <v>2886.58</v>
      </c>
      <c r="J40" s="3" t="str">
        <f>IFERROR(VLOOKUP(B40, People!A:B, 2, FALSE), "")</f>
        <v/>
      </c>
    </row>
    <row r="41" spans="1:10" ht="15.75" customHeight="1" x14ac:dyDescent="0.15">
      <c r="A41" s="3" t="s">
        <v>120</v>
      </c>
      <c r="B41" s="3" t="s">
        <v>121</v>
      </c>
      <c r="C41" s="3" t="s">
        <v>40</v>
      </c>
      <c r="D41" s="3" t="s">
        <v>51</v>
      </c>
      <c r="E41" s="3" t="s">
        <v>75</v>
      </c>
      <c r="F41" s="8">
        <v>43769</v>
      </c>
      <c r="G41" s="3" t="s">
        <v>56</v>
      </c>
      <c r="H41" s="3" t="s">
        <v>58</v>
      </c>
      <c r="I41" s="10">
        <v>105252.81</v>
      </c>
      <c r="J41" s="3" t="str">
        <f>IFERROR(VLOOKUP(B41, People!A:B, 2, FALSE), "")</f>
        <v/>
      </c>
    </row>
    <row r="42" spans="1:10" ht="15.75" customHeight="1" x14ac:dyDescent="0.15">
      <c r="A42" s="3" t="s">
        <v>120</v>
      </c>
      <c r="B42" s="3" t="s">
        <v>121</v>
      </c>
      <c r="C42" s="3" t="s">
        <v>40</v>
      </c>
      <c r="D42" s="3" t="s">
        <v>51</v>
      </c>
      <c r="E42" s="3" t="s">
        <v>75</v>
      </c>
      <c r="F42" s="8">
        <v>43769</v>
      </c>
      <c r="G42" s="3" t="s">
        <v>56</v>
      </c>
      <c r="H42" s="3" t="s">
        <v>60</v>
      </c>
      <c r="I42" s="10">
        <v>78939.61</v>
      </c>
      <c r="J42" s="3" t="str">
        <f>IFERROR(VLOOKUP(B42, People!A:B, 2, FALSE), "")</f>
        <v/>
      </c>
    </row>
    <row r="43" spans="1:10" ht="15.75" customHeight="1" x14ac:dyDescent="0.15">
      <c r="A43" s="3" t="s">
        <v>120</v>
      </c>
      <c r="B43" s="3" t="s">
        <v>121</v>
      </c>
      <c r="C43" s="3" t="s">
        <v>40</v>
      </c>
      <c r="D43" s="3" t="s">
        <v>51</v>
      </c>
      <c r="E43" s="3" t="s">
        <v>75</v>
      </c>
      <c r="F43" s="8">
        <v>43769</v>
      </c>
      <c r="G43" s="3" t="s">
        <v>56</v>
      </c>
      <c r="H43" s="3" t="s">
        <v>64</v>
      </c>
      <c r="I43" s="10">
        <v>26313.200000000001</v>
      </c>
      <c r="J43" s="3" t="str">
        <f>IFERROR(VLOOKUP(B43, People!A:B, 2, FALSE), "")</f>
        <v/>
      </c>
    </row>
    <row r="44" spans="1:10" ht="15.75" customHeight="1" x14ac:dyDescent="0.15">
      <c r="A44" s="3" t="s">
        <v>120</v>
      </c>
      <c r="B44" s="3" t="s">
        <v>121</v>
      </c>
      <c r="C44" s="3" t="s">
        <v>40</v>
      </c>
      <c r="D44" s="3" t="s">
        <v>51</v>
      </c>
      <c r="E44" s="3" t="s">
        <v>75</v>
      </c>
      <c r="F44" s="8">
        <v>43769</v>
      </c>
      <c r="G44" s="3" t="s">
        <v>56</v>
      </c>
      <c r="H44" s="3" t="s">
        <v>64</v>
      </c>
      <c r="I44" s="10">
        <v>13154.54</v>
      </c>
      <c r="J44" s="3" t="str">
        <f>IFERROR(VLOOKUP(B44, People!A:B, 2, FALSE), "")</f>
        <v/>
      </c>
    </row>
    <row r="45" spans="1:10" ht="15.75" customHeight="1" x14ac:dyDescent="0.15">
      <c r="A45" s="3" t="s">
        <v>122</v>
      </c>
      <c r="B45" s="3" t="s">
        <v>123</v>
      </c>
      <c r="C45" s="3" t="s">
        <v>40</v>
      </c>
      <c r="D45" s="3" t="s">
        <v>51</v>
      </c>
      <c r="E45" s="3" t="s">
        <v>75</v>
      </c>
      <c r="F45" s="8">
        <v>43783</v>
      </c>
      <c r="G45" s="3" t="s">
        <v>56</v>
      </c>
      <c r="H45" s="3" t="s">
        <v>58</v>
      </c>
      <c r="I45" s="10">
        <v>83133.39</v>
      </c>
      <c r="J45" s="3" t="str">
        <f>IFERROR(VLOOKUP(B45, People!A:B, 2, FALSE), "")</f>
        <v/>
      </c>
    </row>
    <row r="46" spans="1:10" ht="15.75" customHeight="1" x14ac:dyDescent="0.15">
      <c r="A46" s="3" t="s">
        <v>122</v>
      </c>
      <c r="B46" s="3" t="s">
        <v>123</v>
      </c>
      <c r="C46" s="3" t="s">
        <v>40</v>
      </c>
      <c r="D46" s="3" t="s">
        <v>51</v>
      </c>
      <c r="E46" s="3" t="s">
        <v>75</v>
      </c>
      <c r="F46" s="8">
        <v>43783</v>
      </c>
      <c r="G46" s="3" t="s">
        <v>56</v>
      </c>
      <c r="H46" s="3" t="s">
        <v>64</v>
      </c>
      <c r="I46" s="10">
        <v>22515.29</v>
      </c>
      <c r="J46" s="3" t="str">
        <f>IFERROR(VLOOKUP(B46, People!A:B, 2, FALSE), "")</f>
        <v/>
      </c>
    </row>
    <row r="47" spans="1:10" ht="15.75" customHeight="1" x14ac:dyDescent="0.15">
      <c r="A47" s="3" t="s">
        <v>122</v>
      </c>
      <c r="B47" s="3" t="s">
        <v>123</v>
      </c>
      <c r="C47" s="3" t="s">
        <v>40</v>
      </c>
      <c r="D47" s="3" t="s">
        <v>51</v>
      </c>
      <c r="E47" s="3" t="s">
        <v>75</v>
      </c>
      <c r="F47" s="8">
        <v>43783</v>
      </c>
      <c r="G47" s="3" t="s">
        <v>56</v>
      </c>
      <c r="H47" s="3" t="s">
        <v>64</v>
      </c>
      <c r="I47" s="10">
        <v>11257.65</v>
      </c>
      <c r="J47" s="3" t="str">
        <f>IFERROR(VLOOKUP(B47, People!A:B, 2, FALSE), "")</f>
        <v/>
      </c>
    </row>
    <row r="48" spans="1:10" ht="15.75" customHeight="1" x14ac:dyDescent="0.15">
      <c r="A48" s="3" t="s">
        <v>124</v>
      </c>
      <c r="B48" s="3" t="s">
        <v>121</v>
      </c>
      <c r="C48" s="3" t="s">
        <v>40</v>
      </c>
      <c r="D48" s="3" t="s">
        <v>51</v>
      </c>
      <c r="E48" s="3" t="s">
        <v>54</v>
      </c>
      <c r="F48" s="8">
        <v>43921</v>
      </c>
      <c r="G48" s="3" t="s">
        <v>56</v>
      </c>
      <c r="H48" s="3" t="s">
        <v>58</v>
      </c>
      <c r="I48" s="10">
        <v>19340.060000000001</v>
      </c>
      <c r="J48" s="3" t="str">
        <f>IFERROR(VLOOKUP(B48, People!A:B, 2, FALSE), "")</f>
        <v/>
      </c>
    </row>
    <row r="49" spans="1:10" ht="15.75" customHeight="1" x14ac:dyDescent="0.15">
      <c r="A49" s="3" t="s">
        <v>124</v>
      </c>
      <c r="B49" s="3" t="s">
        <v>121</v>
      </c>
      <c r="C49" s="3" t="s">
        <v>40</v>
      </c>
      <c r="D49" s="3" t="s">
        <v>51</v>
      </c>
      <c r="E49" s="3" t="s">
        <v>54</v>
      </c>
      <c r="F49" s="8">
        <v>43921</v>
      </c>
      <c r="G49" s="3" t="s">
        <v>56</v>
      </c>
      <c r="H49" s="3" t="s">
        <v>58</v>
      </c>
      <c r="I49" s="10">
        <v>38680.120000000003</v>
      </c>
      <c r="J49" s="3" t="str">
        <f>IFERROR(VLOOKUP(B49, People!A:B, 2, FALSE), "")</f>
        <v/>
      </c>
    </row>
    <row r="50" spans="1:10" ht="15.75" customHeight="1" x14ac:dyDescent="0.15">
      <c r="A50" s="3" t="s">
        <v>124</v>
      </c>
      <c r="B50" s="3" t="s">
        <v>121</v>
      </c>
      <c r="C50" s="3" t="s">
        <v>40</v>
      </c>
      <c r="D50" s="3" t="s">
        <v>51</v>
      </c>
      <c r="E50" s="3" t="s">
        <v>54</v>
      </c>
      <c r="F50" s="8">
        <v>43921</v>
      </c>
      <c r="G50" s="3" t="s">
        <v>56</v>
      </c>
      <c r="H50" s="3" t="s">
        <v>60</v>
      </c>
      <c r="I50" s="10">
        <v>50473.84</v>
      </c>
      <c r="J50" s="3" t="str">
        <f>IFERROR(VLOOKUP(B50, People!A:B, 2, FALSE), "")</f>
        <v/>
      </c>
    </row>
    <row r="51" spans="1:10" ht="15.75" customHeight="1" x14ac:dyDescent="0.15">
      <c r="A51" s="3" t="s">
        <v>124</v>
      </c>
      <c r="B51" s="3" t="s">
        <v>121</v>
      </c>
      <c r="C51" s="3" t="s">
        <v>40</v>
      </c>
      <c r="D51" s="3" t="s">
        <v>51</v>
      </c>
      <c r="E51" s="3" t="s">
        <v>54</v>
      </c>
      <c r="F51" s="8">
        <v>43921</v>
      </c>
      <c r="G51" s="3" t="s">
        <v>56</v>
      </c>
      <c r="H51" s="3" t="s">
        <v>64</v>
      </c>
      <c r="I51" s="10">
        <v>19340.060000000001</v>
      </c>
      <c r="J51" s="3" t="str">
        <f>IFERROR(VLOOKUP(B51, People!A:B, 2, FALSE), "")</f>
        <v/>
      </c>
    </row>
    <row r="52" spans="1:10" ht="15.75" customHeight="1" x14ac:dyDescent="0.15">
      <c r="A52" s="3" t="s">
        <v>124</v>
      </c>
      <c r="B52" s="3" t="s">
        <v>121</v>
      </c>
      <c r="C52" s="3" t="s">
        <v>40</v>
      </c>
      <c r="D52" s="3" t="s">
        <v>51</v>
      </c>
      <c r="E52" s="3" t="s">
        <v>54</v>
      </c>
      <c r="F52" s="8">
        <v>43921</v>
      </c>
      <c r="G52" s="3" t="s">
        <v>56</v>
      </c>
      <c r="H52" s="3" t="s">
        <v>64</v>
      </c>
      <c r="I52" s="10">
        <v>19340.060000000001</v>
      </c>
      <c r="J52" s="3" t="str">
        <f>IFERROR(VLOOKUP(B52, People!A:B, 2, FALSE), "")</f>
        <v/>
      </c>
    </row>
    <row r="53" spans="1:10" ht="15.75" customHeight="1" x14ac:dyDescent="0.15">
      <c r="A53" s="3" t="s">
        <v>125</v>
      </c>
      <c r="B53" s="3" t="s">
        <v>17</v>
      </c>
      <c r="C53" s="3" t="s">
        <v>43</v>
      </c>
      <c r="D53" s="3" t="s">
        <v>63</v>
      </c>
      <c r="E53" s="3" t="s">
        <v>75</v>
      </c>
      <c r="F53" s="8">
        <v>43784</v>
      </c>
      <c r="G53" s="3" t="s">
        <v>56</v>
      </c>
      <c r="H53" s="3" t="s">
        <v>60</v>
      </c>
      <c r="I53" s="3">
        <v>357.84</v>
      </c>
      <c r="J53" s="3" t="str">
        <f>IFERROR(VLOOKUP(B53, People!A:B, 2, FALSE), "")</f>
        <v>Edward Nygma</v>
      </c>
    </row>
    <row r="54" spans="1:10" ht="15.75" customHeight="1" x14ac:dyDescent="0.15">
      <c r="A54" s="3" t="s">
        <v>126</v>
      </c>
      <c r="B54" s="3" t="s">
        <v>28</v>
      </c>
      <c r="C54" s="3" t="s">
        <v>41</v>
      </c>
      <c r="D54" s="3" t="s">
        <v>51</v>
      </c>
      <c r="E54" s="3" t="s">
        <v>75</v>
      </c>
      <c r="F54" s="8">
        <v>43853</v>
      </c>
      <c r="G54" s="3" t="s">
        <v>56</v>
      </c>
      <c r="H54" s="3" t="s">
        <v>127</v>
      </c>
      <c r="I54" s="10">
        <v>289482.34000000003</v>
      </c>
      <c r="J54" s="3" t="str">
        <f>IFERROR(VLOOKUP(B54, People!A:B, 2, FALSE), "")</f>
        <v>Hannah Abbott</v>
      </c>
    </row>
    <row r="55" spans="1:10" ht="15.75" customHeight="1" x14ac:dyDescent="0.15">
      <c r="A55" s="3" t="s">
        <v>128</v>
      </c>
      <c r="B55" s="3" t="s">
        <v>129</v>
      </c>
      <c r="C55" s="3" t="s">
        <v>40</v>
      </c>
      <c r="D55" s="3" t="s">
        <v>63</v>
      </c>
      <c r="E55" s="3" t="s">
        <v>54</v>
      </c>
      <c r="F55" s="8">
        <v>43858</v>
      </c>
      <c r="G55" s="3" t="s">
        <v>56</v>
      </c>
      <c r="H55" s="3" t="s">
        <v>60</v>
      </c>
      <c r="I55" s="10">
        <v>5751</v>
      </c>
      <c r="J55" s="3" t="str">
        <f>IFERROR(VLOOKUP(B55, People!A:B, 2, FALSE), "")</f>
        <v/>
      </c>
    </row>
    <row r="56" spans="1:10" ht="13" x14ac:dyDescent="0.15">
      <c r="A56" s="3" t="s">
        <v>128</v>
      </c>
      <c r="B56" s="3" t="s">
        <v>129</v>
      </c>
      <c r="C56" s="3" t="s">
        <v>40</v>
      </c>
      <c r="D56" s="3" t="s">
        <v>63</v>
      </c>
      <c r="E56" s="3" t="s">
        <v>54</v>
      </c>
      <c r="F56" s="8">
        <v>43858</v>
      </c>
      <c r="G56" s="3" t="s">
        <v>56</v>
      </c>
      <c r="H56" s="3" t="s">
        <v>64</v>
      </c>
      <c r="I56" s="10">
        <v>8946</v>
      </c>
      <c r="J56" s="3" t="str">
        <f>IFERROR(VLOOKUP(B56, People!A:B, 2, FALSE), "")</f>
        <v/>
      </c>
    </row>
    <row r="57" spans="1:10" ht="13" x14ac:dyDescent="0.15">
      <c r="A57" s="3" t="s">
        <v>128</v>
      </c>
      <c r="B57" s="3" t="s">
        <v>129</v>
      </c>
      <c r="C57" s="3" t="s">
        <v>40</v>
      </c>
      <c r="D57" s="3" t="s">
        <v>63</v>
      </c>
      <c r="E57" s="3" t="s">
        <v>54</v>
      </c>
      <c r="F57" s="8">
        <v>43858</v>
      </c>
      <c r="G57" s="3" t="s">
        <v>56</v>
      </c>
      <c r="H57" s="3" t="s">
        <v>64</v>
      </c>
      <c r="I57" s="10">
        <v>8946</v>
      </c>
      <c r="J57" s="3" t="str">
        <f>IFERROR(VLOOKUP(B57, People!A:B, 2, FALSE), "")</f>
        <v/>
      </c>
    </row>
    <row r="58" spans="1:10" ht="13" x14ac:dyDescent="0.15">
      <c r="A58" s="3" t="s">
        <v>130</v>
      </c>
      <c r="B58" s="3" t="s">
        <v>131</v>
      </c>
      <c r="C58" s="3" t="s">
        <v>40</v>
      </c>
      <c r="D58" s="3" t="s">
        <v>63</v>
      </c>
      <c r="E58" s="3" t="s">
        <v>54</v>
      </c>
      <c r="F58" s="8">
        <v>43917</v>
      </c>
      <c r="G58" s="3" t="s">
        <v>56</v>
      </c>
      <c r="H58" s="3" t="s">
        <v>58</v>
      </c>
      <c r="I58" s="10">
        <v>12821.18</v>
      </c>
      <c r="J58" s="3" t="str">
        <f>IFERROR(VLOOKUP(B58, People!A:B, 2, FALSE), "")</f>
        <v/>
      </c>
    </row>
    <row r="59" spans="1:10" ht="13" x14ac:dyDescent="0.15">
      <c r="A59" s="3" t="s">
        <v>130</v>
      </c>
      <c r="B59" s="3" t="s">
        <v>131</v>
      </c>
      <c r="C59" s="3" t="s">
        <v>40</v>
      </c>
      <c r="D59" s="3" t="s">
        <v>63</v>
      </c>
      <c r="E59" s="3" t="s">
        <v>54</v>
      </c>
      <c r="F59" s="8">
        <v>43917</v>
      </c>
      <c r="G59" s="3" t="s">
        <v>56</v>
      </c>
      <c r="H59" s="3" t="s">
        <v>60</v>
      </c>
      <c r="I59" s="10">
        <v>16026.12</v>
      </c>
      <c r="J59" s="3" t="str">
        <f>IFERROR(VLOOKUP(B59, People!A:B, 2, FALSE), "")</f>
        <v/>
      </c>
    </row>
    <row r="60" spans="1:10" ht="13" x14ac:dyDescent="0.15">
      <c r="A60" s="3" t="s">
        <v>130</v>
      </c>
      <c r="B60" s="3" t="s">
        <v>131</v>
      </c>
      <c r="C60" s="3" t="s">
        <v>40</v>
      </c>
      <c r="D60" s="3" t="s">
        <v>63</v>
      </c>
      <c r="E60" s="3" t="s">
        <v>54</v>
      </c>
      <c r="F60" s="8">
        <v>43917</v>
      </c>
      <c r="G60" s="3" t="s">
        <v>56</v>
      </c>
      <c r="H60" s="3" t="s">
        <v>64</v>
      </c>
      <c r="I60" s="10">
        <v>6672.58</v>
      </c>
      <c r="J60" s="3" t="str">
        <f>IFERROR(VLOOKUP(B60, People!A:B, 2, FALSE), "")</f>
        <v/>
      </c>
    </row>
    <row r="61" spans="1:10" ht="13" x14ac:dyDescent="0.15">
      <c r="A61" s="3" t="s">
        <v>130</v>
      </c>
      <c r="B61" s="3" t="s">
        <v>131</v>
      </c>
      <c r="C61" s="3" t="s">
        <v>40</v>
      </c>
      <c r="D61" s="3" t="s">
        <v>63</v>
      </c>
      <c r="E61" s="3" t="s">
        <v>54</v>
      </c>
      <c r="F61" s="8">
        <v>43917</v>
      </c>
      <c r="G61" s="3" t="s">
        <v>56</v>
      </c>
      <c r="H61" s="3" t="s">
        <v>64</v>
      </c>
      <c r="I61" s="10">
        <v>6409.88</v>
      </c>
      <c r="J61" s="3" t="str">
        <f>IFERROR(VLOOKUP(B61, People!A:B, 2, FALSE), "")</f>
        <v/>
      </c>
    </row>
    <row r="62" spans="1:10" ht="13" x14ac:dyDescent="0.15">
      <c r="A62" s="3" t="s">
        <v>132</v>
      </c>
      <c r="B62" s="3" t="s">
        <v>133</v>
      </c>
      <c r="C62" s="3" t="s">
        <v>40</v>
      </c>
      <c r="D62" s="3" t="s">
        <v>63</v>
      </c>
      <c r="E62" s="3" t="s">
        <v>75</v>
      </c>
      <c r="F62" s="8">
        <v>43859</v>
      </c>
      <c r="G62" s="3" t="s">
        <v>56</v>
      </c>
      <c r="H62" s="3" t="s">
        <v>58</v>
      </c>
      <c r="I62" s="10">
        <v>4922.8599999999997</v>
      </c>
      <c r="J62" s="3" t="str">
        <f>IFERROR(VLOOKUP(B62, People!A:B, 2, FALSE), "")</f>
        <v/>
      </c>
    </row>
    <row r="63" spans="1:10" ht="13" x14ac:dyDescent="0.15">
      <c r="A63" s="3" t="s">
        <v>132</v>
      </c>
      <c r="B63" s="3" t="s">
        <v>133</v>
      </c>
      <c r="C63" s="3" t="s">
        <v>40</v>
      </c>
      <c r="D63" s="3" t="s">
        <v>63</v>
      </c>
      <c r="E63" s="3" t="s">
        <v>75</v>
      </c>
      <c r="F63" s="8">
        <v>43859</v>
      </c>
      <c r="G63" s="3" t="s">
        <v>56</v>
      </c>
      <c r="H63" s="3" t="s">
        <v>60</v>
      </c>
      <c r="I63" s="10">
        <v>7383.43</v>
      </c>
      <c r="J63" s="3" t="str">
        <f>IFERROR(VLOOKUP(B63, People!A:B, 2, FALSE), "")</f>
        <v/>
      </c>
    </row>
    <row r="64" spans="1:10" ht="13" x14ac:dyDescent="0.15">
      <c r="A64" s="3" t="s">
        <v>132</v>
      </c>
      <c r="B64" s="3" t="s">
        <v>133</v>
      </c>
      <c r="C64" s="3" t="s">
        <v>40</v>
      </c>
      <c r="D64" s="3" t="s">
        <v>63</v>
      </c>
      <c r="E64" s="3" t="s">
        <v>75</v>
      </c>
      <c r="F64" s="8">
        <v>43859</v>
      </c>
      <c r="G64" s="3" t="s">
        <v>56</v>
      </c>
      <c r="H64" s="3" t="s">
        <v>64</v>
      </c>
      <c r="I64" s="10">
        <v>2460.58</v>
      </c>
      <c r="J64" s="3" t="str">
        <f>IFERROR(VLOOKUP(B64, People!A:B, 2, FALSE), "")</f>
        <v/>
      </c>
    </row>
    <row r="65" spans="1:10" ht="13" x14ac:dyDescent="0.15">
      <c r="A65" s="3" t="s">
        <v>132</v>
      </c>
      <c r="B65" s="3" t="s">
        <v>133</v>
      </c>
      <c r="C65" s="3" t="s">
        <v>40</v>
      </c>
      <c r="D65" s="3" t="s">
        <v>63</v>
      </c>
      <c r="E65" s="3" t="s">
        <v>75</v>
      </c>
      <c r="F65" s="8">
        <v>43859</v>
      </c>
      <c r="G65" s="3" t="s">
        <v>56</v>
      </c>
      <c r="H65" s="3" t="s">
        <v>64</v>
      </c>
      <c r="I65" s="10">
        <v>1230.29</v>
      </c>
      <c r="J65" s="3" t="str">
        <f>IFERROR(VLOOKUP(B65, People!A:B, 2, FALSE), "")</f>
        <v/>
      </c>
    </row>
    <row r="66" spans="1:10" ht="13" x14ac:dyDescent="0.15">
      <c r="A66" s="3" t="s">
        <v>134</v>
      </c>
      <c r="B66" s="3" t="s">
        <v>7</v>
      </c>
      <c r="C66" s="3" t="s">
        <v>40</v>
      </c>
      <c r="D66" s="3" t="s">
        <v>51</v>
      </c>
      <c r="E66" s="3" t="s">
        <v>75</v>
      </c>
      <c r="F66" s="8">
        <v>43805</v>
      </c>
      <c r="G66" s="3" t="s">
        <v>56</v>
      </c>
      <c r="H66" s="3" t="s">
        <v>58</v>
      </c>
      <c r="I66" s="10">
        <v>41566.69</v>
      </c>
      <c r="J66" s="3" t="str">
        <f>IFERROR(VLOOKUP(B66, People!A:B, 2, FALSE), "")</f>
        <v>Bob Smith</v>
      </c>
    </row>
    <row r="67" spans="1:10" ht="13" x14ac:dyDescent="0.15">
      <c r="A67" s="3" t="s">
        <v>134</v>
      </c>
      <c r="B67" s="3" t="s">
        <v>7</v>
      </c>
      <c r="C67" s="3" t="s">
        <v>40</v>
      </c>
      <c r="D67" s="3" t="s">
        <v>51</v>
      </c>
      <c r="E67" s="3" t="s">
        <v>75</v>
      </c>
      <c r="F67" s="8">
        <v>43805</v>
      </c>
      <c r="G67" s="3" t="s">
        <v>56</v>
      </c>
      <c r="H67" s="3" t="s">
        <v>64</v>
      </c>
      <c r="I67" s="10">
        <v>25236.92</v>
      </c>
      <c r="J67" s="3" t="str">
        <f>IFERROR(VLOOKUP(B67, People!A:B, 2, FALSE), "")</f>
        <v>Bob Smith</v>
      </c>
    </row>
    <row r="68" spans="1:10" ht="13" x14ac:dyDescent="0.15">
      <c r="A68" s="3" t="s">
        <v>134</v>
      </c>
      <c r="B68" s="3" t="s">
        <v>7</v>
      </c>
      <c r="C68" s="3" t="s">
        <v>40</v>
      </c>
      <c r="D68" s="3" t="s">
        <v>51</v>
      </c>
      <c r="E68" s="3" t="s">
        <v>75</v>
      </c>
      <c r="F68" s="8">
        <v>43805</v>
      </c>
      <c r="G68" s="3" t="s">
        <v>56</v>
      </c>
      <c r="H68" s="3" t="s">
        <v>64</v>
      </c>
      <c r="I68" s="10">
        <v>12618.46</v>
      </c>
      <c r="J68" s="3" t="str">
        <f>IFERROR(VLOOKUP(B68, People!A:B, 2, FALSE), "")</f>
        <v>Bob Smith</v>
      </c>
    </row>
    <row r="69" spans="1:10" ht="13" x14ac:dyDescent="0.15">
      <c r="A69" s="3" t="s">
        <v>135</v>
      </c>
      <c r="B69" s="3" t="s">
        <v>17</v>
      </c>
      <c r="C69" s="3" t="s">
        <v>43</v>
      </c>
      <c r="D69" s="3" t="s">
        <v>63</v>
      </c>
      <c r="E69" s="3" t="s">
        <v>54</v>
      </c>
      <c r="F69" s="8">
        <v>43844</v>
      </c>
      <c r="G69" s="3" t="s">
        <v>56</v>
      </c>
      <c r="H69" s="3" t="s">
        <v>58</v>
      </c>
      <c r="I69" s="10">
        <v>6475.2</v>
      </c>
      <c r="J69" s="3" t="str">
        <f>IFERROR(VLOOKUP(B69, People!A:B, 2, FALSE), "")</f>
        <v>Edward Nygma</v>
      </c>
    </row>
    <row r="70" spans="1:10" ht="13" x14ac:dyDescent="0.15">
      <c r="A70" s="3" t="s">
        <v>135</v>
      </c>
      <c r="B70" s="3" t="s">
        <v>17</v>
      </c>
      <c r="C70" s="3" t="s">
        <v>43</v>
      </c>
      <c r="D70" s="3" t="s">
        <v>63</v>
      </c>
      <c r="E70" s="3" t="s">
        <v>54</v>
      </c>
      <c r="F70" s="8">
        <v>43844</v>
      </c>
      <c r="G70" s="3" t="s">
        <v>56</v>
      </c>
      <c r="H70" s="3" t="s">
        <v>60</v>
      </c>
      <c r="I70" s="10">
        <v>4856.3999999999996</v>
      </c>
      <c r="J70" s="3" t="str">
        <f>IFERROR(VLOOKUP(B70, People!A:B, 2, FALSE), "")</f>
        <v>Edward Nygma</v>
      </c>
    </row>
    <row r="71" spans="1:10" ht="13" x14ac:dyDescent="0.15">
      <c r="A71" s="3" t="s">
        <v>135</v>
      </c>
      <c r="B71" s="3" t="s">
        <v>17</v>
      </c>
      <c r="C71" s="3" t="s">
        <v>43</v>
      </c>
      <c r="D71" s="3" t="s">
        <v>63</v>
      </c>
      <c r="E71" s="3" t="s">
        <v>54</v>
      </c>
      <c r="F71" s="8">
        <v>43844</v>
      </c>
      <c r="G71" s="3" t="s">
        <v>56</v>
      </c>
      <c r="H71" s="3" t="s">
        <v>64</v>
      </c>
      <c r="I71" s="10">
        <v>3237.6</v>
      </c>
      <c r="J71" s="3" t="str">
        <f>IFERROR(VLOOKUP(B71, People!A:B, 2, FALSE), "")</f>
        <v>Edward Nygma</v>
      </c>
    </row>
    <row r="72" spans="1:10" ht="13" x14ac:dyDescent="0.15">
      <c r="A72" s="3" t="s">
        <v>135</v>
      </c>
      <c r="B72" s="3" t="s">
        <v>17</v>
      </c>
      <c r="C72" s="3" t="s">
        <v>43</v>
      </c>
      <c r="D72" s="3" t="s">
        <v>63</v>
      </c>
      <c r="E72" s="3" t="s">
        <v>54</v>
      </c>
      <c r="F72" s="8">
        <v>43844</v>
      </c>
      <c r="G72" s="3" t="s">
        <v>56</v>
      </c>
      <c r="H72" s="3" t="s">
        <v>64</v>
      </c>
      <c r="I72" s="10">
        <v>3237.6</v>
      </c>
      <c r="J72" s="3" t="str">
        <f>IFERROR(VLOOKUP(B72, People!A:B, 2, FALSE), "")</f>
        <v>Edward Nygma</v>
      </c>
    </row>
    <row r="73" spans="1:10" ht="13" x14ac:dyDescent="0.15">
      <c r="A73" s="3" t="s">
        <v>136</v>
      </c>
      <c r="B73" s="3" t="s">
        <v>137</v>
      </c>
      <c r="C73" s="3" t="s">
        <v>41</v>
      </c>
      <c r="D73" s="3" t="s">
        <v>63</v>
      </c>
      <c r="E73" s="3" t="s">
        <v>54</v>
      </c>
      <c r="F73" s="8">
        <v>43857</v>
      </c>
      <c r="G73" s="3" t="s">
        <v>56</v>
      </c>
      <c r="H73" s="3" t="s">
        <v>60</v>
      </c>
      <c r="I73" s="10">
        <v>7361.28</v>
      </c>
      <c r="J73" s="3" t="str">
        <f>IFERROR(VLOOKUP(B73, People!A:B, 2, FALSE), "")</f>
        <v/>
      </c>
    </row>
    <row r="74" spans="1:10" ht="13" x14ac:dyDescent="0.15">
      <c r="A74" s="3" t="s">
        <v>136</v>
      </c>
      <c r="B74" s="3" t="s">
        <v>137</v>
      </c>
      <c r="C74" s="3" t="s">
        <v>41</v>
      </c>
      <c r="D74" s="3" t="s">
        <v>63</v>
      </c>
      <c r="E74" s="3" t="s">
        <v>54</v>
      </c>
      <c r="F74" s="8">
        <v>43857</v>
      </c>
      <c r="G74" s="3" t="s">
        <v>56</v>
      </c>
      <c r="H74" s="3" t="s">
        <v>64</v>
      </c>
      <c r="I74" s="10">
        <v>4907.5200000000004</v>
      </c>
      <c r="J74" s="3" t="str">
        <f>IFERROR(VLOOKUP(B74, People!A:B, 2, FALSE), "")</f>
        <v/>
      </c>
    </row>
    <row r="75" spans="1:10" ht="13" x14ac:dyDescent="0.15">
      <c r="A75" s="3" t="s">
        <v>136</v>
      </c>
      <c r="B75" s="3" t="s">
        <v>137</v>
      </c>
      <c r="C75" s="3" t="s">
        <v>41</v>
      </c>
      <c r="D75" s="3" t="s">
        <v>63</v>
      </c>
      <c r="E75" s="3" t="s">
        <v>54</v>
      </c>
      <c r="F75" s="8">
        <v>43857</v>
      </c>
      <c r="G75" s="3" t="s">
        <v>56</v>
      </c>
      <c r="H75" s="3" t="s">
        <v>64</v>
      </c>
      <c r="I75" s="10">
        <v>4907.5200000000004</v>
      </c>
      <c r="J75" s="3" t="str">
        <f>IFERROR(VLOOKUP(B75, People!A:B, 2, FALSE), "")</f>
        <v/>
      </c>
    </row>
    <row r="76" spans="1:10" ht="13" x14ac:dyDescent="0.15">
      <c r="A76" s="3" t="s">
        <v>138</v>
      </c>
      <c r="B76" s="3" t="s">
        <v>5</v>
      </c>
      <c r="C76" s="3" t="s">
        <v>40</v>
      </c>
      <c r="D76" s="3" t="s">
        <v>51</v>
      </c>
      <c r="E76" s="3" t="s">
        <v>54</v>
      </c>
      <c r="F76" s="8">
        <v>44182</v>
      </c>
      <c r="G76" s="3" t="s">
        <v>114</v>
      </c>
      <c r="H76" s="3" t="s">
        <v>115</v>
      </c>
      <c r="I76" s="10">
        <v>77284.639999999999</v>
      </c>
      <c r="J76" s="3" t="str">
        <f>IFERROR(VLOOKUP(B76, People!A:B, 2, FALSE), "")</f>
        <v>Alice Chen</v>
      </c>
    </row>
    <row r="77" spans="1:10" ht="13" x14ac:dyDescent="0.15">
      <c r="A77" s="3" t="s">
        <v>138</v>
      </c>
      <c r="B77" s="3" t="s">
        <v>5</v>
      </c>
      <c r="C77" s="3" t="s">
        <v>40</v>
      </c>
      <c r="D77" s="3" t="s">
        <v>51</v>
      </c>
      <c r="E77" s="3" t="s">
        <v>54</v>
      </c>
      <c r="F77" s="8">
        <v>44182</v>
      </c>
      <c r="G77" s="3" t="s">
        <v>114</v>
      </c>
      <c r="H77" s="3" t="s">
        <v>115</v>
      </c>
      <c r="I77" s="10">
        <v>42886.27</v>
      </c>
      <c r="J77" s="3" t="str">
        <f>IFERROR(VLOOKUP(B77, People!A:B, 2, FALSE), "")</f>
        <v>Alice Chen</v>
      </c>
    </row>
    <row r="78" spans="1:10" ht="13" x14ac:dyDescent="0.15">
      <c r="A78" s="3" t="s">
        <v>139</v>
      </c>
      <c r="B78" s="3" t="s">
        <v>137</v>
      </c>
      <c r="C78" s="3" t="s">
        <v>41</v>
      </c>
      <c r="D78" s="3" t="s">
        <v>63</v>
      </c>
      <c r="E78" s="3" t="s">
        <v>75</v>
      </c>
      <c r="F78" s="8">
        <v>43861</v>
      </c>
      <c r="G78" s="3" t="s">
        <v>114</v>
      </c>
      <c r="H78" s="3" t="s">
        <v>115</v>
      </c>
      <c r="I78" s="10">
        <v>11928</v>
      </c>
      <c r="J78" s="3" t="str">
        <f>IFERROR(VLOOKUP(B78, People!A:B, 2, FALSE), "")</f>
        <v/>
      </c>
    </row>
    <row r="79" spans="1:10" ht="13" x14ac:dyDescent="0.15">
      <c r="A79" s="3" t="s">
        <v>139</v>
      </c>
      <c r="B79" s="3" t="s">
        <v>137</v>
      </c>
      <c r="C79" s="3" t="s">
        <v>41</v>
      </c>
      <c r="D79" s="3" t="s">
        <v>63</v>
      </c>
      <c r="E79" s="3" t="s">
        <v>75</v>
      </c>
      <c r="F79" s="8">
        <v>43861</v>
      </c>
      <c r="G79" s="3" t="s">
        <v>114</v>
      </c>
      <c r="H79" s="3" t="s">
        <v>115</v>
      </c>
      <c r="I79" s="10">
        <v>14484</v>
      </c>
      <c r="J79" s="3" t="str">
        <f>IFERROR(VLOOKUP(B79, People!A:B, 2, FALSE), "")</f>
        <v/>
      </c>
    </row>
    <row r="80" spans="1:10" ht="13" x14ac:dyDescent="0.15">
      <c r="A80" s="3" t="s">
        <v>139</v>
      </c>
      <c r="B80" s="3" t="s">
        <v>137</v>
      </c>
      <c r="C80" s="3" t="s">
        <v>41</v>
      </c>
      <c r="D80" s="3" t="s">
        <v>63</v>
      </c>
      <c r="E80" s="3" t="s">
        <v>75</v>
      </c>
      <c r="F80" s="8">
        <v>43861</v>
      </c>
      <c r="G80" s="3" t="s">
        <v>114</v>
      </c>
      <c r="H80" s="3" t="s">
        <v>115</v>
      </c>
      <c r="I80" s="10">
        <v>6816</v>
      </c>
      <c r="J80" s="3" t="str">
        <f>IFERROR(VLOOKUP(B80, People!A:B, 2, FALSE), "")</f>
        <v/>
      </c>
    </row>
    <row r="81" spans="1:10" ht="13" x14ac:dyDescent="0.15">
      <c r="A81" s="3" t="s">
        <v>140</v>
      </c>
      <c r="B81" s="3" t="s">
        <v>133</v>
      </c>
      <c r="C81" s="3" t="s">
        <v>40</v>
      </c>
      <c r="D81" s="3" t="s">
        <v>63</v>
      </c>
      <c r="E81" s="3" t="s">
        <v>75</v>
      </c>
      <c r="F81" s="8">
        <v>43861</v>
      </c>
      <c r="G81" s="3" t="s">
        <v>56</v>
      </c>
      <c r="H81" s="3" t="s">
        <v>58</v>
      </c>
      <c r="I81" s="10">
        <v>3435.26</v>
      </c>
      <c r="J81" s="3" t="str">
        <f>IFERROR(VLOOKUP(B81, People!A:B, 2, FALSE), "")</f>
        <v/>
      </c>
    </row>
    <row r="82" spans="1:10" ht="13" x14ac:dyDescent="0.15">
      <c r="A82" s="3" t="s">
        <v>140</v>
      </c>
      <c r="B82" s="3" t="s">
        <v>133</v>
      </c>
      <c r="C82" s="3" t="s">
        <v>40</v>
      </c>
      <c r="D82" s="3" t="s">
        <v>63</v>
      </c>
      <c r="E82" s="3" t="s">
        <v>75</v>
      </c>
      <c r="F82" s="8">
        <v>43861</v>
      </c>
      <c r="G82" s="3" t="s">
        <v>56</v>
      </c>
      <c r="H82" s="3" t="s">
        <v>58</v>
      </c>
      <c r="I82" s="10">
        <v>6870.53</v>
      </c>
      <c r="J82" s="3" t="str">
        <f>IFERROR(VLOOKUP(B82, People!A:B, 2, FALSE), "")</f>
        <v/>
      </c>
    </row>
    <row r="83" spans="1:10" ht="13" x14ac:dyDescent="0.15">
      <c r="A83" s="3" t="s">
        <v>140</v>
      </c>
      <c r="B83" s="3" t="s">
        <v>133</v>
      </c>
      <c r="C83" s="3" t="s">
        <v>40</v>
      </c>
      <c r="D83" s="3" t="s">
        <v>63</v>
      </c>
      <c r="E83" s="3" t="s">
        <v>75</v>
      </c>
      <c r="F83" s="8">
        <v>43861</v>
      </c>
      <c r="G83" s="3" t="s">
        <v>56</v>
      </c>
      <c r="H83" s="3" t="s">
        <v>60</v>
      </c>
      <c r="I83" s="10">
        <v>10305.790000000001</v>
      </c>
      <c r="J83" s="3" t="str">
        <f>IFERROR(VLOOKUP(B83, People!A:B, 2, FALSE), "")</f>
        <v/>
      </c>
    </row>
    <row r="84" spans="1:10" ht="13" x14ac:dyDescent="0.15">
      <c r="A84" s="3" t="s">
        <v>140</v>
      </c>
      <c r="B84" s="3" t="s">
        <v>133</v>
      </c>
      <c r="C84" s="3" t="s">
        <v>40</v>
      </c>
      <c r="D84" s="3" t="s">
        <v>63</v>
      </c>
      <c r="E84" s="3" t="s">
        <v>75</v>
      </c>
      <c r="F84" s="8">
        <v>43861</v>
      </c>
      <c r="G84" s="3" t="s">
        <v>56</v>
      </c>
      <c r="H84" s="3" t="s">
        <v>64</v>
      </c>
      <c r="I84" s="10">
        <v>3435.26</v>
      </c>
      <c r="J84" s="3" t="str">
        <f>IFERROR(VLOOKUP(B84, People!A:B, 2, FALSE), "")</f>
        <v/>
      </c>
    </row>
    <row r="85" spans="1:10" ht="13" x14ac:dyDescent="0.15">
      <c r="A85" s="3" t="s">
        <v>140</v>
      </c>
      <c r="B85" s="3" t="s">
        <v>133</v>
      </c>
      <c r="C85" s="3" t="s">
        <v>40</v>
      </c>
      <c r="D85" s="3" t="s">
        <v>63</v>
      </c>
      <c r="E85" s="3" t="s">
        <v>75</v>
      </c>
      <c r="F85" s="8">
        <v>43861</v>
      </c>
      <c r="G85" s="3" t="s">
        <v>56</v>
      </c>
      <c r="H85" s="3" t="s">
        <v>64</v>
      </c>
      <c r="I85" s="10">
        <v>3435.26</v>
      </c>
      <c r="J85" s="3" t="str">
        <f>IFERROR(VLOOKUP(B85, People!A:B, 2, FALSE), "")</f>
        <v/>
      </c>
    </row>
    <row r="86" spans="1:10" ht="13" x14ac:dyDescent="0.15">
      <c r="A86" s="3" t="s">
        <v>141</v>
      </c>
      <c r="B86" s="3" t="s">
        <v>25</v>
      </c>
      <c r="C86" s="3" t="s">
        <v>40</v>
      </c>
      <c r="D86" s="3" t="s">
        <v>51</v>
      </c>
      <c r="E86" s="3" t="s">
        <v>75</v>
      </c>
      <c r="F86" s="8">
        <v>43861</v>
      </c>
      <c r="G86" s="3" t="s">
        <v>114</v>
      </c>
      <c r="H86" s="3" t="s">
        <v>115</v>
      </c>
      <c r="I86" s="10">
        <v>123710.39999999999</v>
      </c>
      <c r="J86" s="3" t="str">
        <f>IFERROR(VLOOKUP(B86, People!A:B, 2, FALSE), "")</f>
        <v>George Bluth</v>
      </c>
    </row>
    <row r="87" spans="1:10" ht="13" x14ac:dyDescent="0.15">
      <c r="A87" s="3" t="s">
        <v>141</v>
      </c>
      <c r="B87" s="3" t="s">
        <v>25</v>
      </c>
      <c r="C87" s="3" t="s">
        <v>40</v>
      </c>
      <c r="D87" s="3" t="s">
        <v>51</v>
      </c>
      <c r="E87" s="3" t="s">
        <v>75</v>
      </c>
      <c r="F87" s="8">
        <v>43861</v>
      </c>
      <c r="G87" s="3" t="s">
        <v>114</v>
      </c>
      <c r="H87" s="3" t="s">
        <v>115</v>
      </c>
      <c r="I87" s="10">
        <v>24742.080000000002</v>
      </c>
      <c r="J87" s="3" t="str">
        <f>IFERROR(VLOOKUP(B87, People!A:B, 2, FALSE), "")</f>
        <v>George Bluth</v>
      </c>
    </row>
    <row r="88" spans="1:10" ht="13" x14ac:dyDescent="0.15">
      <c r="A88" s="3" t="s">
        <v>141</v>
      </c>
      <c r="B88" s="3" t="s">
        <v>25</v>
      </c>
      <c r="C88" s="3" t="s">
        <v>40</v>
      </c>
      <c r="D88" s="3" t="s">
        <v>51</v>
      </c>
      <c r="E88" s="3" t="s">
        <v>75</v>
      </c>
      <c r="F88" s="8">
        <v>43861</v>
      </c>
      <c r="G88" s="3" t="s">
        <v>114</v>
      </c>
      <c r="H88" s="3" t="s">
        <v>115</v>
      </c>
      <c r="I88" s="10">
        <v>29690.5</v>
      </c>
      <c r="J88" s="3" t="str">
        <f>IFERROR(VLOOKUP(B88, People!A:B, 2, FALSE), "")</f>
        <v>George Bluth</v>
      </c>
    </row>
    <row r="89" spans="1:10" ht="13" x14ac:dyDescent="0.15">
      <c r="A89" s="3" t="s">
        <v>142</v>
      </c>
      <c r="B89" s="3" t="s">
        <v>123</v>
      </c>
      <c r="C89" s="3" t="s">
        <v>40</v>
      </c>
      <c r="D89" s="3" t="s">
        <v>51</v>
      </c>
      <c r="E89" s="3" t="s">
        <v>75</v>
      </c>
      <c r="F89" s="8">
        <v>43871</v>
      </c>
      <c r="G89" s="3" t="s">
        <v>56</v>
      </c>
      <c r="H89" s="3" t="s">
        <v>58</v>
      </c>
      <c r="I89" s="10">
        <v>8313.34</v>
      </c>
      <c r="J89" s="3" t="str">
        <f>IFERROR(VLOOKUP(B89, People!A:B, 2, FALSE), "")</f>
        <v/>
      </c>
    </row>
    <row r="90" spans="1:10" ht="13" x14ac:dyDescent="0.15">
      <c r="A90" s="3" t="s">
        <v>142</v>
      </c>
      <c r="B90" s="3" t="s">
        <v>123</v>
      </c>
      <c r="C90" s="3" t="s">
        <v>40</v>
      </c>
      <c r="D90" s="3" t="s">
        <v>51</v>
      </c>
      <c r="E90" s="3" t="s">
        <v>75</v>
      </c>
      <c r="F90" s="8">
        <v>43871</v>
      </c>
      <c r="G90" s="3" t="s">
        <v>56</v>
      </c>
      <c r="H90" s="3" t="s">
        <v>64</v>
      </c>
      <c r="I90" s="10">
        <v>2424.7199999999998</v>
      </c>
      <c r="J90" s="3" t="str">
        <f>IFERROR(VLOOKUP(B90, People!A:B, 2, FALSE), "")</f>
        <v/>
      </c>
    </row>
    <row r="91" spans="1:10" ht="13" x14ac:dyDescent="0.15">
      <c r="A91" s="3" t="s">
        <v>142</v>
      </c>
      <c r="B91" s="3" t="s">
        <v>123</v>
      </c>
      <c r="C91" s="3" t="s">
        <v>40</v>
      </c>
      <c r="D91" s="3" t="s">
        <v>51</v>
      </c>
      <c r="E91" s="3" t="s">
        <v>75</v>
      </c>
      <c r="F91" s="8">
        <v>43871</v>
      </c>
      <c r="G91" s="3" t="s">
        <v>56</v>
      </c>
      <c r="H91" s="3" t="s">
        <v>64</v>
      </c>
      <c r="I91" s="10">
        <v>1212.3599999999999</v>
      </c>
      <c r="J91" s="3" t="str">
        <f>IFERROR(VLOOKUP(B91, People!A:B, 2, FALSE), "")</f>
        <v/>
      </c>
    </row>
    <row r="92" spans="1:10" ht="13" x14ac:dyDescent="0.15">
      <c r="A92" s="3" t="s">
        <v>143</v>
      </c>
      <c r="B92" s="3" t="s">
        <v>144</v>
      </c>
      <c r="C92" s="3" t="s">
        <v>43</v>
      </c>
      <c r="D92" s="3" t="s">
        <v>63</v>
      </c>
      <c r="E92" s="3" t="s">
        <v>75</v>
      </c>
      <c r="F92" s="8">
        <v>43867</v>
      </c>
      <c r="G92" s="3" t="s">
        <v>56</v>
      </c>
      <c r="H92" s="3" t="s">
        <v>58</v>
      </c>
      <c r="I92" s="10">
        <v>6844.97</v>
      </c>
      <c r="J92" s="3" t="str">
        <f>IFERROR(VLOOKUP(B92, People!A:B, 2, FALSE), "")</f>
        <v/>
      </c>
    </row>
    <row r="93" spans="1:10" ht="13" x14ac:dyDescent="0.15">
      <c r="A93" s="3" t="s">
        <v>143</v>
      </c>
      <c r="B93" s="3" t="s">
        <v>144</v>
      </c>
      <c r="C93" s="3" t="s">
        <v>43</v>
      </c>
      <c r="D93" s="3" t="s">
        <v>63</v>
      </c>
      <c r="E93" s="3" t="s">
        <v>75</v>
      </c>
      <c r="F93" s="8">
        <v>43867</v>
      </c>
      <c r="G93" s="3" t="s">
        <v>56</v>
      </c>
      <c r="H93" s="3" t="s">
        <v>60</v>
      </c>
      <c r="I93" s="10">
        <v>4277.04</v>
      </c>
      <c r="J93" s="3" t="str">
        <f>IFERROR(VLOOKUP(B93, People!A:B, 2, FALSE), "")</f>
        <v/>
      </c>
    </row>
    <row r="94" spans="1:10" ht="13" x14ac:dyDescent="0.15">
      <c r="A94" s="3" t="s">
        <v>143</v>
      </c>
      <c r="B94" s="3" t="s">
        <v>144</v>
      </c>
      <c r="C94" s="3" t="s">
        <v>43</v>
      </c>
      <c r="D94" s="3" t="s">
        <v>63</v>
      </c>
      <c r="E94" s="3" t="s">
        <v>75</v>
      </c>
      <c r="F94" s="8">
        <v>43867</v>
      </c>
      <c r="G94" s="3" t="s">
        <v>56</v>
      </c>
      <c r="H94" s="3" t="s">
        <v>64</v>
      </c>
      <c r="I94" s="10">
        <v>1710.82</v>
      </c>
      <c r="J94" s="3" t="str">
        <f>IFERROR(VLOOKUP(B94, People!A:B, 2, FALSE), "")</f>
        <v/>
      </c>
    </row>
    <row r="95" spans="1:10" ht="13" x14ac:dyDescent="0.15">
      <c r="A95" s="3" t="s">
        <v>143</v>
      </c>
      <c r="B95" s="3" t="s">
        <v>144</v>
      </c>
      <c r="C95" s="3" t="s">
        <v>43</v>
      </c>
      <c r="D95" s="3" t="s">
        <v>63</v>
      </c>
      <c r="E95" s="3" t="s">
        <v>75</v>
      </c>
      <c r="F95" s="8">
        <v>43867</v>
      </c>
      <c r="G95" s="3" t="s">
        <v>56</v>
      </c>
      <c r="H95" s="3" t="s">
        <v>64</v>
      </c>
      <c r="I95" s="3">
        <v>855.41</v>
      </c>
      <c r="J95" s="3" t="str">
        <f>IFERROR(VLOOKUP(B95, People!A:B, 2, FALSE), "")</f>
        <v/>
      </c>
    </row>
    <row r="96" spans="1:10" ht="13" x14ac:dyDescent="0.15">
      <c r="A96" s="3" t="s">
        <v>145</v>
      </c>
      <c r="B96" s="3" t="s">
        <v>117</v>
      </c>
      <c r="C96" s="3" t="s">
        <v>43</v>
      </c>
      <c r="D96" s="3" t="s">
        <v>63</v>
      </c>
      <c r="E96" s="3" t="s">
        <v>75</v>
      </c>
      <c r="F96" s="8">
        <v>43873</v>
      </c>
      <c r="G96" s="3" t="s">
        <v>56</v>
      </c>
      <c r="H96" s="3" t="s">
        <v>58</v>
      </c>
      <c r="I96" s="10">
        <v>2620.75</v>
      </c>
      <c r="J96" s="3" t="str">
        <f>IFERROR(VLOOKUP(B96, People!A:B, 2, FALSE), "")</f>
        <v/>
      </c>
    </row>
    <row r="97" spans="1:10" ht="13" x14ac:dyDescent="0.15">
      <c r="A97" s="3" t="s">
        <v>145</v>
      </c>
      <c r="B97" s="3" t="s">
        <v>117</v>
      </c>
      <c r="C97" s="3" t="s">
        <v>43</v>
      </c>
      <c r="D97" s="3" t="s">
        <v>63</v>
      </c>
      <c r="E97" s="3" t="s">
        <v>75</v>
      </c>
      <c r="F97" s="8">
        <v>43873</v>
      </c>
      <c r="G97" s="3" t="s">
        <v>56</v>
      </c>
      <c r="H97" s="3" t="s">
        <v>60</v>
      </c>
      <c r="I97" s="10">
        <v>1966.42</v>
      </c>
      <c r="J97" s="3" t="str">
        <f>IFERROR(VLOOKUP(B97, People!A:B, 2, FALSE), "")</f>
        <v/>
      </c>
    </row>
    <row r="98" spans="1:10" ht="13" x14ac:dyDescent="0.15">
      <c r="A98" s="3" t="s">
        <v>145</v>
      </c>
      <c r="B98" s="3" t="s">
        <v>117</v>
      </c>
      <c r="C98" s="3" t="s">
        <v>43</v>
      </c>
      <c r="D98" s="3" t="s">
        <v>63</v>
      </c>
      <c r="E98" s="3" t="s">
        <v>75</v>
      </c>
      <c r="F98" s="8">
        <v>43873</v>
      </c>
      <c r="G98" s="3" t="s">
        <v>56</v>
      </c>
      <c r="H98" s="3" t="s">
        <v>64</v>
      </c>
      <c r="I98" s="10">
        <v>1310.3800000000001</v>
      </c>
      <c r="J98" s="3" t="str">
        <f>IFERROR(VLOOKUP(B98, People!A:B, 2, FALSE), "")</f>
        <v/>
      </c>
    </row>
    <row r="99" spans="1:10" ht="13" x14ac:dyDescent="0.15">
      <c r="A99" s="3" t="s">
        <v>145</v>
      </c>
      <c r="B99" s="3" t="s">
        <v>117</v>
      </c>
      <c r="C99" s="3" t="s">
        <v>43</v>
      </c>
      <c r="D99" s="3" t="s">
        <v>63</v>
      </c>
      <c r="E99" s="3" t="s">
        <v>75</v>
      </c>
      <c r="F99" s="8">
        <v>43873</v>
      </c>
      <c r="G99" s="3" t="s">
        <v>56</v>
      </c>
      <c r="H99" s="3" t="s">
        <v>64</v>
      </c>
      <c r="I99" s="10">
        <v>1310.3800000000001</v>
      </c>
      <c r="J99" s="3" t="str">
        <f>IFERROR(VLOOKUP(B99, People!A:B, 2, FALSE), "")</f>
        <v/>
      </c>
    </row>
    <row r="100" spans="1:10" ht="13" x14ac:dyDescent="0.15">
      <c r="A100" s="3" t="s">
        <v>146</v>
      </c>
      <c r="B100" s="3" t="s">
        <v>147</v>
      </c>
      <c r="C100" s="3" t="s">
        <v>43</v>
      </c>
      <c r="D100" s="3" t="s">
        <v>51</v>
      </c>
      <c r="E100" s="3" t="s">
        <v>75</v>
      </c>
      <c r="F100" s="8">
        <v>43873</v>
      </c>
      <c r="G100" s="3" t="s">
        <v>56</v>
      </c>
      <c r="H100" s="3" t="s">
        <v>58</v>
      </c>
      <c r="I100" s="10">
        <v>4861.82</v>
      </c>
      <c r="J100" s="3" t="str">
        <f>IFERROR(VLOOKUP(B100, People!A:B, 2, FALSE), "")</f>
        <v/>
      </c>
    </row>
    <row r="101" spans="1:10" ht="13" x14ac:dyDescent="0.15">
      <c r="A101" s="3" t="s">
        <v>148</v>
      </c>
      <c r="B101" s="3" t="s">
        <v>5</v>
      </c>
      <c r="C101" s="3" t="s">
        <v>40</v>
      </c>
      <c r="D101" s="3" t="s">
        <v>51</v>
      </c>
      <c r="E101" s="3" t="s">
        <v>54</v>
      </c>
      <c r="F101" s="8">
        <v>43978</v>
      </c>
      <c r="G101" s="3" t="s">
        <v>56</v>
      </c>
      <c r="H101" s="3" t="s">
        <v>58</v>
      </c>
      <c r="I101" s="10">
        <v>16577.189999999999</v>
      </c>
      <c r="J101" s="3" t="str">
        <f>IFERROR(VLOOKUP(B101, People!A:B, 2, FALSE), "")</f>
        <v>Alice Chen</v>
      </c>
    </row>
    <row r="102" spans="1:10" ht="13" x14ac:dyDescent="0.15">
      <c r="A102" s="3" t="s">
        <v>148</v>
      </c>
      <c r="B102" s="3" t="s">
        <v>5</v>
      </c>
      <c r="C102" s="3" t="s">
        <v>40</v>
      </c>
      <c r="D102" s="3" t="s">
        <v>51</v>
      </c>
      <c r="E102" s="3" t="s">
        <v>54</v>
      </c>
      <c r="F102" s="8">
        <v>43978</v>
      </c>
      <c r="G102" s="3" t="s">
        <v>56</v>
      </c>
      <c r="H102" s="3" t="s">
        <v>58</v>
      </c>
      <c r="I102" s="10">
        <v>33154.39</v>
      </c>
      <c r="J102" s="3" t="str">
        <f>IFERROR(VLOOKUP(B102, People!A:B, 2, FALSE), "")</f>
        <v>Alice Chen</v>
      </c>
    </row>
    <row r="103" spans="1:10" ht="13" x14ac:dyDescent="0.15">
      <c r="A103" s="3" t="s">
        <v>148</v>
      </c>
      <c r="B103" s="3" t="s">
        <v>5</v>
      </c>
      <c r="C103" s="3" t="s">
        <v>40</v>
      </c>
      <c r="D103" s="3" t="s">
        <v>51</v>
      </c>
      <c r="E103" s="3" t="s">
        <v>54</v>
      </c>
      <c r="F103" s="8">
        <v>43978</v>
      </c>
      <c r="G103" s="3" t="s">
        <v>56</v>
      </c>
      <c r="H103" s="3" t="s">
        <v>60</v>
      </c>
      <c r="I103" s="10">
        <v>24865.79</v>
      </c>
      <c r="J103" s="3" t="str">
        <f>IFERROR(VLOOKUP(B103, People!A:B, 2, FALSE), "")</f>
        <v>Alice Chen</v>
      </c>
    </row>
    <row r="104" spans="1:10" ht="13" x14ac:dyDescent="0.15">
      <c r="A104" s="3" t="s">
        <v>148</v>
      </c>
      <c r="B104" s="3" t="s">
        <v>5</v>
      </c>
      <c r="C104" s="3" t="s">
        <v>40</v>
      </c>
      <c r="D104" s="3" t="s">
        <v>51</v>
      </c>
      <c r="E104" s="3" t="s">
        <v>54</v>
      </c>
      <c r="F104" s="8">
        <v>43978</v>
      </c>
      <c r="G104" s="3" t="s">
        <v>56</v>
      </c>
      <c r="H104" s="3" t="s">
        <v>64</v>
      </c>
      <c r="I104" s="10">
        <v>16577.189999999999</v>
      </c>
      <c r="J104" s="3" t="str">
        <f>IFERROR(VLOOKUP(B104, People!A:B, 2, FALSE), "")</f>
        <v>Alice Chen</v>
      </c>
    </row>
    <row r="105" spans="1:10" ht="13" x14ac:dyDescent="0.15">
      <c r="A105" s="3" t="s">
        <v>148</v>
      </c>
      <c r="B105" s="3" t="s">
        <v>5</v>
      </c>
      <c r="C105" s="3" t="s">
        <v>40</v>
      </c>
      <c r="D105" s="3" t="s">
        <v>51</v>
      </c>
      <c r="E105" s="3" t="s">
        <v>54</v>
      </c>
      <c r="F105" s="8">
        <v>43978</v>
      </c>
      <c r="G105" s="3" t="s">
        <v>56</v>
      </c>
      <c r="H105" s="3" t="s">
        <v>64</v>
      </c>
      <c r="I105" s="10">
        <v>16577.189999999999</v>
      </c>
      <c r="J105" s="3" t="str">
        <f>IFERROR(VLOOKUP(B105, People!A:B, 2, FALSE), "")</f>
        <v>Alice Chen</v>
      </c>
    </row>
    <row r="106" spans="1:10" ht="13" x14ac:dyDescent="0.15">
      <c r="A106" s="3" t="s">
        <v>149</v>
      </c>
      <c r="B106" s="3" t="s">
        <v>137</v>
      </c>
      <c r="C106" s="3" t="s">
        <v>41</v>
      </c>
      <c r="D106" s="3" t="s">
        <v>63</v>
      </c>
      <c r="E106" s="3" t="s">
        <v>75</v>
      </c>
      <c r="F106" s="8">
        <v>44008</v>
      </c>
      <c r="G106" s="3" t="s">
        <v>56</v>
      </c>
      <c r="H106" s="3" t="s">
        <v>127</v>
      </c>
      <c r="I106" s="10">
        <v>37237.51</v>
      </c>
      <c r="J106" s="3" t="str">
        <f>IFERROR(VLOOKUP(B106, People!A:B, 2, FALSE), "")</f>
        <v/>
      </c>
    </row>
    <row r="107" spans="1:10" ht="13" x14ac:dyDescent="0.15">
      <c r="A107" s="3" t="s">
        <v>150</v>
      </c>
      <c r="B107" s="3" t="s">
        <v>151</v>
      </c>
      <c r="C107" s="3" t="s">
        <v>43</v>
      </c>
      <c r="D107" s="3" t="s">
        <v>63</v>
      </c>
      <c r="E107" s="3" t="s">
        <v>75</v>
      </c>
      <c r="F107" s="8">
        <v>43951</v>
      </c>
      <c r="G107" s="3" t="s">
        <v>56</v>
      </c>
      <c r="H107" s="3" t="s">
        <v>58</v>
      </c>
      <c r="I107" s="10">
        <v>4784.83</v>
      </c>
      <c r="J107" s="3" t="str">
        <f>IFERROR(VLOOKUP(B107, People!A:B, 2, FALSE), "")</f>
        <v/>
      </c>
    </row>
    <row r="108" spans="1:10" ht="13" x14ac:dyDescent="0.15">
      <c r="A108" s="3" t="s">
        <v>150</v>
      </c>
      <c r="B108" s="3" t="s">
        <v>151</v>
      </c>
      <c r="C108" s="3" t="s">
        <v>43</v>
      </c>
      <c r="D108" s="3" t="s">
        <v>63</v>
      </c>
      <c r="E108" s="3" t="s">
        <v>75</v>
      </c>
      <c r="F108" s="8">
        <v>43951</v>
      </c>
      <c r="G108" s="3" t="s">
        <v>56</v>
      </c>
      <c r="H108" s="3" t="s">
        <v>60</v>
      </c>
      <c r="I108" s="10">
        <v>4784.83</v>
      </c>
      <c r="J108" s="3" t="str">
        <f>IFERROR(VLOOKUP(B108, People!A:B, 2, FALSE), "")</f>
        <v/>
      </c>
    </row>
    <row r="109" spans="1:10" ht="13" x14ac:dyDescent="0.15">
      <c r="A109" s="3" t="s">
        <v>150</v>
      </c>
      <c r="B109" s="3" t="s">
        <v>151</v>
      </c>
      <c r="C109" s="3" t="s">
        <v>43</v>
      </c>
      <c r="D109" s="3" t="s">
        <v>63</v>
      </c>
      <c r="E109" s="3" t="s">
        <v>75</v>
      </c>
      <c r="F109" s="8">
        <v>43951</v>
      </c>
      <c r="G109" s="3" t="s">
        <v>56</v>
      </c>
      <c r="H109" s="3" t="s">
        <v>64</v>
      </c>
      <c r="I109" s="10">
        <v>1594.94</v>
      </c>
      <c r="J109" s="3" t="str">
        <f>IFERROR(VLOOKUP(B109, People!A:B, 2, FALSE), "")</f>
        <v/>
      </c>
    </row>
    <row r="110" spans="1:10" ht="13" x14ac:dyDescent="0.15">
      <c r="A110" s="3" t="s">
        <v>150</v>
      </c>
      <c r="B110" s="3" t="s">
        <v>151</v>
      </c>
      <c r="C110" s="3" t="s">
        <v>43</v>
      </c>
      <c r="D110" s="3" t="s">
        <v>63</v>
      </c>
      <c r="E110" s="3" t="s">
        <v>75</v>
      </c>
      <c r="F110" s="8">
        <v>43951</v>
      </c>
      <c r="G110" s="3" t="s">
        <v>56</v>
      </c>
      <c r="H110" s="3" t="s">
        <v>64</v>
      </c>
      <c r="I110" s="10">
        <v>1594.94</v>
      </c>
      <c r="J110" s="3" t="str">
        <f>IFERROR(VLOOKUP(B110, People!A:B, 2, FALSE), "")</f>
        <v/>
      </c>
    </row>
    <row r="111" spans="1:10" ht="13" x14ac:dyDescent="0.15">
      <c r="A111" s="3" t="s">
        <v>152</v>
      </c>
      <c r="B111" s="3" t="s">
        <v>153</v>
      </c>
      <c r="C111" s="3" t="s">
        <v>43</v>
      </c>
      <c r="D111" s="3" t="s">
        <v>63</v>
      </c>
      <c r="E111" s="3" t="s">
        <v>75</v>
      </c>
      <c r="F111" s="8">
        <v>43903</v>
      </c>
      <c r="G111" s="3" t="s">
        <v>56</v>
      </c>
      <c r="H111" s="3" t="s">
        <v>58</v>
      </c>
      <c r="I111" s="10">
        <v>3990.77</v>
      </c>
      <c r="J111" s="3" t="str">
        <f>IFERROR(VLOOKUP(B111, People!A:B, 2, FALSE), "")</f>
        <v/>
      </c>
    </row>
    <row r="112" spans="1:10" ht="13" x14ac:dyDescent="0.15">
      <c r="A112" s="3" t="s">
        <v>152</v>
      </c>
      <c r="B112" s="3" t="s">
        <v>153</v>
      </c>
      <c r="C112" s="3" t="s">
        <v>43</v>
      </c>
      <c r="D112" s="3" t="s">
        <v>63</v>
      </c>
      <c r="E112" s="3" t="s">
        <v>75</v>
      </c>
      <c r="F112" s="8">
        <v>43903</v>
      </c>
      <c r="G112" s="3" t="s">
        <v>56</v>
      </c>
      <c r="H112" s="3" t="s">
        <v>60</v>
      </c>
      <c r="I112" s="10">
        <v>5984.45</v>
      </c>
      <c r="J112" s="3" t="str">
        <f>IFERROR(VLOOKUP(B112, People!A:B, 2, FALSE), "")</f>
        <v/>
      </c>
    </row>
    <row r="113" spans="1:10" ht="13" x14ac:dyDescent="0.15">
      <c r="A113" s="3" t="s">
        <v>152</v>
      </c>
      <c r="B113" s="3" t="s">
        <v>153</v>
      </c>
      <c r="C113" s="3" t="s">
        <v>43</v>
      </c>
      <c r="D113" s="3" t="s">
        <v>63</v>
      </c>
      <c r="E113" s="3" t="s">
        <v>75</v>
      </c>
      <c r="F113" s="8">
        <v>43903</v>
      </c>
      <c r="G113" s="3" t="s">
        <v>56</v>
      </c>
      <c r="H113" s="3" t="s">
        <v>64</v>
      </c>
      <c r="I113" s="10">
        <v>1995.38</v>
      </c>
      <c r="J113" s="3" t="str">
        <f>IFERROR(VLOOKUP(B113, People!A:B, 2, FALSE), "")</f>
        <v/>
      </c>
    </row>
    <row r="114" spans="1:10" ht="13" x14ac:dyDescent="0.15">
      <c r="A114" s="3" t="s">
        <v>152</v>
      </c>
      <c r="B114" s="3" t="s">
        <v>153</v>
      </c>
      <c r="C114" s="3" t="s">
        <v>43</v>
      </c>
      <c r="D114" s="3" t="s">
        <v>63</v>
      </c>
      <c r="E114" s="3" t="s">
        <v>75</v>
      </c>
      <c r="F114" s="8">
        <v>43903</v>
      </c>
      <c r="G114" s="3" t="s">
        <v>56</v>
      </c>
      <c r="H114" s="3" t="s">
        <v>64</v>
      </c>
      <c r="I114" s="10">
        <v>1995.38</v>
      </c>
      <c r="J114" s="3" t="str">
        <f>IFERROR(VLOOKUP(B114, People!A:B, 2, FALSE), "")</f>
        <v/>
      </c>
    </row>
    <row r="115" spans="1:10" ht="13" x14ac:dyDescent="0.15">
      <c r="A115" s="3" t="s">
        <v>154</v>
      </c>
      <c r="B115" s="3" t="s">
        <v>155</v>
      </c>
      <c r="C115" s="3" t="s">
        <v>43</v>
      </c>
      <c r="D115" s="3" t="s">
        <v>51</v>
      </c>
      <c r="E115" s="3" t="s">
        <v>54</v>
      </c>
      <c r="F115" s="8">
        <v>43957</v>
      </c>
      <c r="G115" s="3" t="s">
        <v>56</v>
      </c>
      <c r="H115" s="3" t="s">
        <v>58</v>
      </c>
      <c r="I115" s="10">
        <v>47669.74</v>
      </c>
      <c r="J115" s="3" t="str">
        <f>IFERROR(VLOOKUP(B115, People!A:B, 2, FALSE), "")</f>
        <v/>
      </c>
    </row>
    <row r="116" spans="1:10" ht="13" x14ac:dyDescent="0.15">
      <c r="A116" s="3" t="s">
        <v>154</v>
      </c>
      <c r="B116" s="3" t="s">
        <v>155</v>
      </c>
      <c r="C116" s="3" t="s">
        <v>43</v>
      </c>
      <c r="D116" s="3" t="s">
        <v>51</v>
      </c>
      <c r="E116" s="3" t="s">
        <v>54</v>
      </c>
      <c r="F116" s="8">
        <v>43957</v>
      </c>
      <c r="G116" s="3" t="s">
        <v>56</v>
      </c>
      <c r="H116" s="3" t="s">
        <v>58</v>
      </c>
      <c r="I116" s="10">
        <v>95339.48</v>
      </c>
      <c r="J116" s="3" t="str">
        <f>IFERROR(VLOOKUP(B116, People!A:B, 2, FALSE), "")</f>
        <v/>
      </c>
    </row>
    <row r="117" spans="1:10" ht="13" x14ac:dyDescent="0.15">
      <c r="A117" s="3" t="s">
        <v>154</v>
      </c>
      <c r="B117" s="3" t="s">
        <v>155</v>
      </c>
      <c r="C117" s="3" t="s">
        <v>43</v>
      </c>
      <c r="D117" s="3" t="s">
        <v>51</v>
      </c>
      <c r="E117" s="3" t="s">
        <v>54</v>
      </c>
      <c r="F117" s="8">
        <v>43957</v>
      </c>
      <c r="G117" s="3" t="s">
        <v>56</v>
      </c>
      <c r="H117" s="3" t="s">
        <v>60</v>
      </c>
      <c r="I117" s="10">
        <v>143009.22</v>
      </c>
      <c r="J117" s="3" t="str">
        <f>IFERROR(VLOOKUP(B117, People!A:B, 2, FALSE), "")</f>
        <v/>
      </c>
    </row>
    <row r="118" spans="1:10" ht="13" x14ac:dyDescent="0.15">
      <c r="A118" s="3" t="s">
        <v>154</v>
      </c>
      <c r="B118" s="3" t="s">
        <v>155</v>
      </c>
      <c r="C118" s="3" t="s">
        <v>43</v>
      </c>
      <c r="D118" s="3" t="s">
        <v>51</v>
      </c>
      <c r="E118" s="3" t="s">
        <v>54</v>
      </c>
      <c r="F118" s="8">
        <v>43957</v>
      </c>
      <c r="G118" s="3" t="s">
        <v>56</v>
      </c>
      <c r="H118" s="3" t="s">
        <v>64</v>
      </c>
      <c r="I118" s="10">
        <v>47669.74</v>
      </c>
      <c r="J118" s="3" t="str">
        <f>IFERROR(VLOOKUP(B118, People!A:B, 2, FALSE), "")</f>
        <v/>
      </c>
    </row>
    <row r="119" spans="1:10" ht="13" x14ac:dyDescent="0.15">
      <c r="A119" s="3" t="s">
        <v>154</v>
      </c>
      <c r="B119" s="3" t="s">
        <v>155</v>
      </c>
      <c r="C119" s="3" t="s">
        <v>43</v>
      </c>
      <c r="D119" s="3" t="s">
        <v>51</v>
      </c>
      <c r="E119" s="3" t="s">
        <v>54</v>
      </c>
      <c r="F119" s="8">
        <v>43957</v>
      </c>
      <c r="G119" s="3" t="s">
        <v>56</v>
      </c>
      <c r="H119" s="3" t="s">
        <v>64</v>
      </c>
      <c r="I119" s="10">
        <v>47669.74</v>
      </c>
      <c r="J119" s="3" t="str">
        <f>IFERROR(VLOOKUP(B119, People!A:B, 2, FALSE), "")</f>
        <v/>
      </c>
    </row>
    <row r="120" spans="1:10" ht="13" x14ac:dyDescent="0.15">
      <c r="A120" s="3" t="s">
        <v>156</v>
      </c>
      <c r="B120" s="3" t="s">
        <v>5</v>
      </c>
      <c r="C120" s="3" t="s">
        <v>40</v>
      </c>
      <c r="D120" s="3" t="s">
        <v>51</v>
      </c>
      <c r="E120" s="3" t="s">
        <v>75</v>
      </c>
      <c r="F120" s="8">
        <v>43906</v>
      </c>
      <c r="G120" s="3" t="s">
        <v>56</v>
      </c>
      <c r="H120" s="3" t="s">
        <v>58</v>
      </c>
      <c r="I120" s="10">
        <v>10688.58</v>
      </c>
      <c r="J120" s="3" t="str">
        <f>IFERROR(VLOOKUP(B120, People!A:B, 2, FALSE), "")</f>
        <v>Alice Chen</v>
      </c>
    </row>
    <row r="121" spans="1:10" ht="13" x14ac:dyDescent="0.15">
      <c r="A121" s="3" t="s">
        <v>156</v>
      </c>
      <c r="B121" s="3" t="s">
        <v>5</v>
      </c>
      <c r="C121" s="3" t="s">
        <v>40</v>
      </c>
      <c r="D121" s="3" t="s">
        <v>51</v>
      </c>
      <c r="E121" s="3" t="s">
        <v>75</v>
      </c>
      <c r="F121" s="8">
        <v>43906</v>
      </c>
      <c r="G121" s="3" t="s">
        <v>56</v>
      </c>
      <c r="H121" s="3" t="s">
        <v>60</v>
      </c>
      <c r="I121" s="10">
        <v>10688.58</v>
      </c>
      <c r="J121" s="3" t="str">
        <f>IFERROR(VLOOKUP(B121, People!A:B, 2, FALSE), "")</f>
        <v>Alice Chen</v>
      </c>
    </row>
    <row r="122" spans="1:10" ht="13" x14ac:dyDescent="0.15">
      <c r="A122" s="3" t="s">
        <v>156</v>
      </c>
      <c r="B122" s="3" t="s">
        <v>5</v>
      </c>
      <c r="C122" s="3" t="s">
        <v>40</v>
      </c>
      <c r="D122" s="3" t="s">
        <v>51</v>
      </c>
      <c r="E122" s="3" t="s">
        <v>75</v>
      </c>
      <c r="F122" s="8">
        <v>43906</v>
      </c>
      <c r="G122" s="3" t="s">
        <v>56</v>
      </c>
      <c r="H122" s="3" t="s">
        <v>64</v>
      </c>
      <c r="I122" s="10">
        <v>3562.86</v>
      </c>
      <c r="J122" s="3" t="str">
        <f>IFERROR(VLOOKUP(B122, People!A:B, 2, FALSE), "")</f>
        <v>Alice Chen</v>
      </c>
    </row>
    <row r="123" spans="1:10" ht="13" x14ac:dyDescent="0.15">
      <c r="A123" s="3" t="s">
        <v>156</v>
      </c>
      <c r="B123" s="3" t="s">
        <v>5</v>
      </c>
      <c r="C123" s="3" t="s">
        <v>40</v>
      </c>
      <c r="D123" s="3" t="s">
        <v>51</v>
      </c>
      <c r="E123" s="3" t="s">
        <v>75</v>
      </c>
      <c r="F123" s="8">
        <v>43906</v>
      </c>
      <c r="G123" s="3" t="s">
        <v>56</v>
      </c>
      <c r="H123" s="3" t="s">
        <v>64</v>
      </c>
      <c r="I123" s="10">
        <v>1781.43</v>
      </c>
      <c r="J123" s="3" t="str">
        <f>IFERROR(VLOOKUP(B123, People!A:B, 2, FALSE), "")</f>
        <v>Alice Chen</v>
      </c>
    </row>
    <row r="124" spans="1:10" ht="13" x14ac:dyDescent="0.15">
      <c r="A124" s="3" t="s">
        <v>157</v>
      </c>
      <c r="B124" s="3" t="s">
        <v>158</v>
      </c>
      <c r="C124" s="3" t="s">
        <v>43</v>
      </c>
      <c r="D124" s="3" t="s">
        <v>51</v>
      </c>
      <c r="E124" s="3" t="s">
        <v>75</v>
      </c>
      <c r="F124" s="8">
        <v>43950</v>
      </c>
      <c r="G124" s="3" t="s">
        <v>56</v>
      </c>
      <c r="H124" s="3" t="s">
        <v>58</v>
      </c>
      <c r="I124" s="10">
        <v>22882.3</v>
      </c>
      <c r="J124" s="3" t="str">
        <f>IFERROR(VLOOKUP(B124, People!A:B, 2, FALSE), "")</f>
        <v/>
      </c>
    </row>
    <row r="125" spans="1:10" ht="13" x14ac:dyDescent="0.15">
      <c r="A125" s="3" t="s">
        <v>157</v>
      </c>
      <c r="B125" s="3" t="s">
        <v>158</v>
      </c>
      <c r="C125" s="3" t="s">
        <v>43</v>
      </c>
      <c r="D125" s="3" t="s">
        <v>51</v>
      </c>
      <c r="E125" s="3" t="s">
        <v>75</v>
      </c>
      <c r="F125" s="8">
        <v>43950</v>
      </c>
      <c r="G125" s="3" t="s">
        <v>56</v>
      </c>
      <c r="H125" s="3" t="s">
        <v>64</v>
      </c>
      <c r="I125" s="10">
        <v>11439.09</v>
      </c>
      <c r="J125" s="3" t="str">
        <f>IFERROR(VLOOKUP(B125, People!A:B, 2, FALSE), "")</f>
        <v/>
      </c>
    </row>
    <row r="126" spans="1:10" ht="13" x14ac:dyDescent="0.15">
      <c r="A126" s="3" t="s">
        <v>157</v>
      </c>
      <c r="B126" s="3" t="s">
        <v>158</v>
      </c>
      <c r="C126" s="3" t="s">
        <v>43</v>
      </c>
      <c r="D126" s="3" t="s">
        <v>51</v>
      </c>
      <c r="E126" s="3" t="s">
        <v>75</v>
      </c>
      <c r="F126" s="8">
        <v>43950</v>
      </c>
      <c r="G126" s="3" t="s">
        <v>56</v>
      </c>
      <c r="H126" s="3" t="s">
        <v>64</v>
      </c>
      <c r="I126" s="10">
        <v>4037.08</v>
      </c>
      <c r="J126" s="3" t="str">
        <f>IFERROR(VLOOKUP(B126, People!A:B, 2, FALSE), "")</f>
        <v/>
      </c>
    </row>
    <row r="127" spans="1:10" ht="13" x14ac:dyDescent="0.15">
      <c r="A127" s="3" t="s">
        <v>159</v>
      </c>
      <c r="B127" s="3" t="s">
        <v>113</v>
      </c>
      <c r="C127" s="3" t="s">
        <v>41</v>
      </c>
      <c r="D127" s="3" t="s">
        <v>51</v>
      </c>
      <c r="E127" s="3" t="s">
        <v>75</v>
      </c>
      <c r="F127" s="8">
        <v>43902</v>
      </c>
      <c r="G127" s="3" t="s">
        <v>56</v>
      </c>
      <c r="H127" s="3" t="s">
        <v>60</v>
      </c>
      <c r="I127" s="10">
        <v>71257.19</v>
      </c>
      <c r="J127" s="3" t="str">
        <f>IFERROR(VLOOKUP(B127, People!A:B, 2, FALSE), "")</f>
        <v/>
      </c>
    </row>
    <row r="128" spans="1:10" ht="13" x14ac:dyDescent="0.15">
      <c r="A128" s="3" t="s">
        <v>160</v>
      </c>
      <c r="B128" s="3" t="s">
        <v>161</v>
      </c>
      <c r="C128" s="3" t="s">
        <v>43</v>
      </c>
      <c r="D128" s="3" t="s">
        <v>63</v>
      </c>
      <c r="E128" s="3" t="s">
        <v>75</v>
      </c>
      <c r="F128" s="8">
        <v>43910</v>
      </c>
      <c r="G128" s="3" t="s">
        <v>56</v>
      </c>
      <c r="H128" s="3" t="s">
        <v>58</v>
      </c>
      <c r="I128" s="3">
        <v>608.33000000000004</v>
      </c>
      <c r="J128" s="3" t="str">
        <f>IFERROR(VLOOKUP(B128, People!A:B, 2, FALSE), "")</f>
        <v/>
      </c>
    </row>
    <row r="129" spans="1:10" ht="13" x14ac:dyDescent="0.15">
      <c r="A129" s="3" t="s">
        <v>160</v>
      </c>
      <c r="B129" s="3" t="s">
        <v>161</v>
      </c>
      <c r="C129" s="3" t="s">
        <v>43</v>
      </c>
      <c r="D129" s="3" t="s">
        <v>63</v>
      </c>
      <c r="E129" s="3" t="s">
        <v>75</v>
      </c>
      <c r="F129" s="8">
        <v>43910</v>
      </c>
      <c r="G129" s="3" t="s">
        <v>56</v>
      </c>
      <c r="H129" s="3" t="s">
        <v>60</v>
      </c>
      <c r="I129" s="10">
        <v>1824.98</v>
      </c>
      <c r="J129" s="3" t="str">
        <f>IFERROR(VLOOKUP(B129, People!A:B, 2, FALSE), "")</f>
        <v/>
      </c>
    </row>
    <row r="130" spans="1:10" ht="13" x14ac:dyDescent="0.15">
      <c r="A130" s="3" t="s">
        <v>160</v>
      </c>
      <c r="B130" s="3" t="s">
        <v>161</v>
      </c>
      <c r="C130" s="3" t="s">
        <v>43</v>
      </c>
      <c r="D130" s="3" t="s">
        <v>63</v>
      </c>
      <c r="E130" s="3" t="s">
        <v>75</v>
      </c>
      <c r="F130" s="8">
        <v>43910</v>
      </c>
      <c r="G130" s="3" t="s">
        <v>56</v>
      </c>
      <c r="H130" s="3" t="s">
        <v>64</v>
      </c>
      <c r="I130" s="10">
        <v>1216.6600000000001</v>
      </c>
      <c r="J130" s="3" t="str">
        <f>IFERROR(VLOOKUP(B130, People!A:B, 2, FALSE), "")</f>
        <v/>
      </c>
    </row>
    <row r="131" spans="1:10" ht="13" x14ac:dyDescent="0.15">
      <c r="A131" s="3" t="s">
        <v>160</v>
      </c>
      <c r="B131" s="3" t="s">
        <v>161</v>
      </c>
      <c r="C131" s="3" t="s">
        <v>43</v>
      </c>
      <c r="D131" s="3" t="s">
        <v>63</v>
      </c>
      <c r="E131" s="3" t="s">
        <v>75</v>
      </c>
      <c r="F131" s="8">
        <v>43910</v>
      </c>
      <c r="G131" s="3" t="s">
        <v>56</v>
      </c>
      <c r="H131" s="3" t="s">
        <v>64</v>
      </c>
      <c r="I131" s="3">
        <v>608.33000000000004</v>
      </c>
      <c r="J131" s="3" t="str">
        <f>IFERROR(VLOOKUP(B131, People!A:B, 2, FALSE), "")</f>
        <v/>
      </c>
    </row>
    <row r="132" spans="1:10" ht="13" x14ac:dyDescent="0.15">
      <c r="A132" s="3" t="s">
        <v>162</v>
      </c>
      <c r="B132" s="3" t="s">
        <v>7</v>
      </c>
      <c r="C132" s="3" t="s">
        <v>40</v>
      </c>
      <c r="D132" s="3" t="s">
        <v>51</v>
      </c>
      <c r="E132" s="3" t="s">
        <v>75</v>
      </c>
      <c r="F132" s="8">
        <v>43907</v>
      </c>
      <c r="G132" s="3" t="s">
        <v>56</v>
      </c>
      <c r="H132" s="3" t="s">
        <v>60</v>
      </c>
      <c r="I132" s="10">
        <v>85731.31</v>
      </c>
      <c r="J132" s="3" t="str">
        <f>IFERROR(VLOOKUP(B132, People!A:B, 2, FALSE), "")</f>
        <v>Bob Smith</v>
      </c>
    </row>
    <row r="133" spans="1:10" ht="13" x14ac:dyDescent="0.15">
      <c r="A133" s="3" t="s">
        <v>162</v>
      </c>
      <c r="B133" s="3" t="s">
        <v>7</v>
      </c>
      <c r="C133" s="3" t="s">
        <v>40</v>
      </c>
      <c r="D133" s="3" t="s">
        <v>51</v>
      </c>
      <c r="E133" s="3" t="s">
        <v>75</v>
      </c>
      <c r="F133" s="8">
        <v>43907</v>
      </c>
      <c r="G133" s="3" t="s">
        <v>56</v>
      </c>
      <c r="H133" s="3" t="s">
        <v>64</v>
      </c>
      <c r="I133" s="10">
        <v>28577.1</v>
      </c>
      <c r="J133" s="3" t="str">
        <f>IFERROR(VLOOKUP(B133, People!A:B, 2, FALSE), "")</f>
        <v>Bob Smith</v>
      </c>
    </row>
    <row r="134" spans="1:10" ht="13" x14ac:dyDescent="0.15">
      <c r="A134" s="3" t="s">
        <v>162</v>
      </c>
      <c r="B134" s="3" t="s">
        <v>7</v>
      </c>
      <c r="C134" s="3" t="s">
        <v>40</v>
      </c>
      <c r="D134" s="3" t="s">
        <v>51</v>
      </c>
      <c r="E134" s="3" t="s">
        <v>75</v>
      </c>
      <c r="F134" s="8">
        <v>43907</v>
      </c>
      <c r="G134" s="3" t="s">
        <v>56</v>
      </c>
      <c r="H134" s="3" t="s">
        <v>64</v>
      </c>
      <c r="I134" s="10">
        <v>28577.1</v>
      </c>
      <c r="J134" s="3" t="str">
        <f>IFERROR(VLOOKUP(B134, People!A:B, 2, FALSE), "")</f>
        <v>Bob Smith</v>
      </c>
    </row>
    <row r="135" spans="1:10" ht="13" x14ac:dyDescent="0.15">
      <c r="A135" s="3" t="s">
        <v>163</v>
      </c>
      <c r="B135" s="3" t="s">
        <v>155</v>
      </c>
      <c r="C135" s="3" t="s">
        <v>43</v>
      </c>
      <c r="D135" s="3" t="s">
        <v>51</v>
      </c>
      <c r="E135" s="3" t="s">
        <v>75</v>
      </c>
      <c r="F135" s="8">
        <v>43915</v>
      </c>
      <c r="G135" s="3" t="s">
        <v>56</v>
      </c>
      <c r="H135" s="3" t="s">
        <v>58</v>
      </c>
      <c r="I135" s="10">
        <v>20082.32</v>
      </c>
      <c r="J135" s="3" t="str">
        <f>IFERROR(VLOOKUP(B135, People!A:B, 2, FALSE), "")</f>
        <v/>
      </c>
    </row>
    <row r="136" spans="1:10" ht="13" x14ac:dyDescent="0.15">
      <c r="A136" s="3" t="s">
        <v>164</v>
      </c>
      <c r="B136" s="3" t="s">
        <v>165</v>
      </c>
      <c r="C136" s="3" t="s">
        <v>43</v>
      </c>
      <c r="D136" s="3" t="s">
        <v>63</v>
      </c>
      <c r="E136" s="3" t="s">
        <v>54</v>
      </c>
      <c r="F136" s="8">
        <v>44021</v>
      </c>
      <c r="G136" s="3" t="s">
        <v>56</v>
      </c>
      <c r="H136" s="3" t="s">
        <v>58</v>
      </c>
      <c r="I136" s="10">
        <v>9542.4</v>
      </c>
      <c r="J136" s="3" t="str">
        <f>IFERROR(VLOOKUP(B136, People!A:B, 2, FALSE), "")</f>
        <v/>
      </c>
    </row>
    <row r="137" spans="1:10" ht="13" x14ac:dyDescent="0.15">
      <c r="A137" s="3" t="s">
        <v>164</v>
      </c>
      <c r="B137" s="3" t="s">
        <v>165</v>
      </c>
      <c r="C137" s="3" t="s">
        <v>43</v>
      </c>
      <c r="D137" s="3" t="s">
        <v>63</v>
      </c>
      <c r="E137" s="3" t="s">
        <v>54</v>
      </c>
      <c r="F137" s="8">
        <v>44021</v>
      </c>
      <c r="G137" s="3" t="s">
        <v>56</v>
      </c>
      <c r="H137" s="3" t="s">
        <v>60</v>
      </c>
      <c r="I137" s="10">
        <v>7156.8</v>
      </c>
      <c r="J137" s="3" t="str">
        <f>IFERROR(VLOOKUP(B137, People!A:B, 2, FALSE), "")</f>
        <v/>
      </c>
    </row>
    <row r="138" spans="1:10" ht="13" x14ac:dyDescent="0.15">
      <c r="A138" s="3" t="s">
        <v>164</v>
      </c>
      <c r="B138" s="3" t="s">
        <v>165</v>
      </c>
      <c r="C138" s="3" t="s">
        <v>43</v>
      </c>
      <c r="D138" s="3" t="s">
        <v>63</v>
      </c>
      <c r="E138" s="3" t="s">
        <v>54</v>
      </c>
      <c r="F138" s="8">
        <v>44021</v>
      </c>
      <c r="G138" s="3" t="s">
        <v>56</v>
      </c>
      <c r="H138" s="3" t="s">
        <v>64</v>
      </c>
      <c r="I138" s="10">
        <v>4771.2</v>
      </c>
      <c r="J138" s="3" t="str">
        <f>IFERROR(VLOOKUP(B138, People!A:B, 2, FALSE), "")</f>
        <v/>
      </c>
    </row>
    <row r="139" spans="1:10" ht="13" x14ac:dyDescent="0.15">
      <c r="A139" s="3" t="s">
        <v>164</v>
      </c>
      <c r="B139" s="3" t="s">
        <v>165</v>
      </c>
      <c r="C139" s="3" t="s">
        <v>43</v>
      </c>
      <c r="D139" s="3" t="s">
        <v>63</v>
      </c>
      <c r="E139" s="3" t="s">
        <v>54</v>
      </c>
      <c r="F139" s="8">
        <v>44021</v>
      </c>
      <c r="G139" s="3" t="s">
        <v>56</v>
      </c>
      <c r="H139" s="3" t="s">
        <v>64</v>
      </c>
      <c r="I139" s="10">
        <v>4771.2</v>
      </c>
      <c r="J139" s="3" t="str">
        <f>IFERROR(VLOOKUP(B139, People!A:B, 2, FALSE), "")</f>
        <v/>
      </c>
    </row>
    <row r="140" spans="1:10" ht="13" x14ac:dyDescent="0.15">
      <c r="A140" s="3" t="s">
        <v>166</v>
      </c>
      <c r="B140" s="3" t="s">
        <v>167</v>
      </c>
      <c r="C140" s="3" t="s">
        <v>43</v>
      </c>
      <c r="D140" s="3" t="s">
        <v>63</v>
      </c>
      <c r="E140" s="3" t="s">
        <v>75</v>
      </c>
      <c r="F140" s="8">
        <v>44122</v>
      </c>
      <c r="G140" s="3" t="s">
        <v>114</v>
      </c>
      <c r="H140" s="3" t="s">
        <v>115</v>
      </c>
      <c r="I140" s="10">
        <v>22925.62</v>
      </c>
      <c r="J140" s="3" t="str">
        <f>IFERROR(VLOOKUP(B140, People!A:B, 2, FALSE), "")</f>
        <v/>
      </c>
    </row>
    <row r="141" spans="1:10" ht="13" x14ac:dyDescent="0.15">
      <c r="A141" s="3" t="s">
        <v>166</v>
      </c>
      <c r="B141" s="3" t="s">
        <v>167</v>
      </c>
      <c r="C141" s="3" t="s">
        <v>43</v>
      </c>
      <c r="D141" s="3" t="s">
        <v>63</v>
      </c>
      <c r="E141" s="3" t="s">
        <v>75</v>
      </c>
      <c r="F141" s="8">
        <v>44122</v>
      </c>
      <c r="G141" s="3" t="s">
        <v>114</v>
      </c>
      <c r="H141" s="3" t="s">
        <v>115</v>
      </c>
      <c r="I141" s="10">
        <v>6076.46</v>
      </c>
      <c r="J141" s="3" t="str">
        <f>IFERROR(VLOOKUP(B141, People!A:B, 2, FALSE), "")</f>
        <v/>
      </c>
    </row>
    <row r="142" spans="1:10" ht="13" x14ac:dyDescent="0.15">
      <c r="A142" s="3" t="s">
        <v>168</v>
      </c>
      <c r="B142" s="3" t="s">
        <v>161</v>
      </c>
      <c r="C142" s="3" t="s">
        <v>43</v>
      </c>
      <c r="D142" s="3" t="s">
        <v>63</v>
      </c>
      <c r="E142" s="3" t="s">
        <v>75</v>
      </c>
      <c r="F142" s="8">
        <v>43944</v>
      </c>
      <c r="G142" s="3" t="s">
        <v>56</v>
      </c>
      <c r="H142" s="3" t="s">
        <v>60</v>
      </c>
      <c r="I142" s="10">
        <v>21259.1</v>
      </c>
      <c r="J142" s="3" t="str">
        <f>IFERROR(VLOOKUP(B142, People!A:B, 2, FALSE), "")</f>
        <v/>
      </c>
    </row>
    <row r="143" spans="1:10" ht="13" x14ac:dyDescent="0.15">
      <c r="A143" s="3" t="s">
        <v>169</v>
      </c>
      <c r="B143" s="3" t="s">
        <v>7</v>
      </c>
      <c r="C143" s="3" t="s">
        <v>40</v>
      </c>
      <c r="D143" s="3" t="s">
        <v>51</v>
      </c>
      <c r="E143" s="3" t="s">
        <v>75</v>
      </c>
      <c r="F143" s="8">
        <v>44042</v>
      </c>
      <c r="G143" s="3" t="s">
        <v>114</v>
      </c>
      <c r="H143" s="3" t="s">
        <v>115</v>
      </c>
      <c r="I143" s="10">
        <v>37154.36</v>
      </c>
      <c r="J143" s="3" t="str">
        <f>IFERROR(VLOOKUP(B143, People!A:B, 2, FALSE), "")</f>
        <v>Bob Smith</v>
      </c>
    </row>
    <row r="144" spans="1:10" ht="13" x14ac:dyDescent="0.15">
      <c r="A144" s="3" t="s">
        <v>169</v>
      </c>
      <c r="B144" s="3" t="s">
        <v>7</v>
      </c>
      <c r="C144" s="3" t="s">
        <v>40</v>
      </c>
      <c r="D144" s="3" t="s">
        <v>51</v>
      </c>
      <c r="E144" s="3" t="s">
        <v>75</v>
      </c>
      <c r="F144" s="8">
        <v>44042</v>
      </c>
      <c r="G144" s="3" t="s">
        <v>114</v>
      </c>
      <c r="H144" s="3" t="s">
        <v>115</v>
      </c>
      <c r="I144" s="10">
        <v>17484.400000000001</v>
      </c>
      <c r="J144" s="3" t="str">
        <f>IFERROR(VLOOKUP(B144, People!A:B, 2, FALSE), "")</f>
        <v>Bob Smith</v>
      </c>
    </row>
    <row r="145" spans="1:10" ht="13" x14ac:dyDescent="0.15">
      <c r="A145" s="3" t="s">
        <v>170</v>
      </c>
      <c r="B145" s="3" t="s">
        <v>31</v>
      </c>
      <c r="C145" s="3" t="s">
        <v>40</v>
      </c>
      <c r="D145" s="3" t="s">
        <v>51</v>
      </c>
      <c r="E145" s="3" t="s">
        <v>54</v>
      </c>
      <c r="F145" s="8">
        <v>44082</v>
      </c>
      <c r="G145" s="3" t="s">
        <v>56</v>
      </c>
      <c r="H145" s="3" t="s">
        <v>58</v>
      </c>
      <c r="I145" s="10">
        <v>31010.07</v>
      </c>
      <c r="J145" s="3" t="str">
        <f>IFERROR(VLOOKUP(B145, People!A:B, 2, FALSE), "")</f>
        <v>Ian Wright</v>
      </c>
    </row>
    <row r="146" spans="1:10" ht="13" x14ac:dyDescent="0.15">
      <c r="A146" s="3" t="s">
        <v>170</v>
      </c>
      <c r="B146" s="3" t="s">
        <v>31</v>
      </c>
      <c r="C146" s="3" t="s">
        <v>40</v>
      </c>
      <c r="D146" s="3" t="s">
        <v>51</v>
      </c>
      <c r="E146" s="3" t="s">
        <v>54</v>
      </c>
      <c r="F146" s="8">
        <v>44082</v>
      </c>
      <c r="G146" s="3" t="s">
        <v>56</v>
      </c>
      <c r="H146" s="3" t="s">
        <v>60</v>
      </c>
      <c r="I146" s="10">
        <v>23257.56</v>
      </c>
      <c r="J146" s="3" t="str">
        <f>IFERROR(VLOOKUP(B146, People!A:B, 2, FALSE), "")</f>
        <v>Ian Wright</v>
      </c>
    </row>
    <row r="147" spans="1:10" ht="13" x14ac:dyDescent="0.15">
      <c r="A147" s="3" t="s">
        <v>170</v>
      </c>
      <c r="B147" s="3" t="s">
        <v>31</v>
      </c>
      <c r="C147" s="3" t="s">
        <v>40</v>
      </c>
      <c r="D147" s="3" t="s">
        <v>51</v>
      </c>
      <c r="E147" s="3" t="s">
        <v>54</v>
      </c>
      <c r="F147" s="8">
        <v>44082</v>
      </c>
      <c r="G147" s="3" t="s">
        <v>56</v>
      </c>
      <c r="H147" s="3" t="s">
        <v>64</v>
      </c>
      <c r="I147" s="10">
        <v>15505.04</v>
      </c>
      <c r="J147" s="3" t="str">
        <f>IFERROR(VLOOKUP(B147, People!A:B, 2, FALSE), "")</f>
        <v>Ian Wright</v>
      </c>
    </row>
    <row r="148" spans="1:10" ht="13" x14ac:dyDescent="0.15">
      <c r="A148" s="3" t="s">
        <v>170</v>
      </c>
      <c r="B148" s="3" t="s">
        <v>31</v>
      </c>
      <c r="C148" s="3" t="s">
        <v>40</v>
      </c>
      <c r="D148" s="3" t="s">
        <v>51</v>
      </c>
      <c r="E148" s="3" t="s">
        <v>54</v>
      </c>
      <c r="F148" s="8">
        <v>44082</v>
      </c>
      <c r="G148" s="3" t="s">
        <v>56</v>
      </c>
      <c r="H148" s="3" t="s">
        <v>64</v>
      </c>
      <c r="I148" s="10">
        <v>15505.04</v>
      </c>
      <c r="J148" s="3" t="str">
        <f>IFERROR(VLOOKUP(B148, People!A:B, 2, FALSE), "")</f>
        <v>Ian Wright</v>
      </c>
    </row>
    <row r="149" spans="1:10" ht="13" x14ac:dyDescent="0.15">
      <c r="A149" s="3" t="s">
        <v>171</v>
      </c>
      <c r="B149" s="3" t="s">
        <v>137</v>
      </c>
      <c r="C149" s="3" t="s">
        <v>41</v>
      </c>
      <c r="D149" s="3" t="s">
        <v>63</v>
      </c>
      <c r="E149" s="3" t="s">
        <v>54</v>
      </c>
      <c r="F149" s="8">
        <v>43646</v>
      </c>
      <c r="G149" s="3" t="s">
        <v>56</v>
      </c>
      <c r="H149" s="3" t="s">
        <v>58</v>
      </c>
      <c r="I149" s="10">
        <v>3408</v>
      </c>
      <c r="J149" s="3" t="str">
        <f>IFERROR(VLOOKUP(B149, People!A:B, 2, FALSE), "")</f>
        <v/>
      </c>
    </row>
    <row r="150" spans="1:10" ht="13" x14ac:dyDescent="0.15">
      <c r="A150" s="3" t="s">
        <v>171</v>
      </c>
      <c r="B150" s="3" t="s">
        <v>137</v>
      </c>
      <c r="C150" s="3" t="s">
        <v>41</v>
      </c>
      <c r="D150" s="3" t="s">
        <v>63</v>
      </c>
      <c r="E150" s="3" t="s">
        <v>54</v>
      </c>
      <c r="F150" s="8">
        <v>43646</v>
      </c>
      <c r="G150" s="3" t="s">
        <v>56</v>
      </c>
      <c r="H150" s="3" t="s">
        <v>58</v>
      </c>
      <c r="I150" s="10">
        <v>6816</v>
      </c>
      <c r="J150" s="3" t="str">
        <f>IFERROR(VLOOKUP(B150, People!A:B, 2, FALSE), "")</f>
        <v/>
      </c>
    </row>
    <row r="151" spans="1:10" ht="13" x14ac:dyDescent="0.15">
      <c r="A151" s="3" t="s">
        <v>171</v>
      </c>
      <c r="B151" s="3" t="s">
        <v>137</v>
      </c>
      <c r="C151" s="3" t="s">
        <v>41</v>
      </c>
      <c r="D151" s="3" t="s">
        <v>63</v>
      </c>
      <c r="E151" s="3" t="s">
        <v>54</v>
      </c>
      <c r="F151" s="8">
        <v>43646</v>
      </c>
      <c r="G151" s="3" t="s">
        <v>56</v>
      </c>
      <c r="H151" s="3" t="s">
        <v>60</v>
      </c>
      <c r="I151" s="10">
        <v>5112</v>
      </c>
      <c r="J151" s="3" t="str">
        <f>IFERROR(VLOOKUP(B151, People!A:B, 2, FALSE), "")</f>
        <v/>
      </c>
    </row>
    <row r="152" spans="1:10" ht="13" x14ac:dyDescent="0.15">
      <c r="A152" s="3" t="s">
        <v>171</v>
      </c>
      <c r="B152" s="3" t="s">
        <v>137</v>
      </c>
      <c r="C152" s="3" t="s">
        <v>41</v>
      </c>
      <c r="D152" s="3" t="s">
        <v>63</v>
      </c>
      <c r="E152" s="3" t="s">
        <v>54</v>
      </c>
      <c r="F152" s="8">
        <v>43646</v>
      </c>
      <c r="G152" s="3" t="s">
        <v>56</v>
      </c>
      <c r="H152" s="3" t="s">
        <v>64</v>
      </c>
      <c r="I152" s="10">
        <v>3408</v>
      </c>
      <c r="J152" s="3" t="str">
        <f>IFERROR(VLOOKUP(B152, People!A:B, 2, FALSE), "")</f>
        <v/>
      </c>
    </row>
    <row r="153" spans="1:10" ht="13" x14ac:dyDescent="0.15">
      <c r="A153" s="3" t="s">
        <v>171</v>
      </c>
      <c r="B153" s="3" t="s">
        <v>137</v>
      </c>
      <c r="C153" s="3" t="s">
        <v>41</v>
      </c>
      <c r="D153" s="3" t="s">
        <v>63</v>
      </c>
      <c r="E153" s="3" t="s">
        <v>54</v>
      </c>
      <c r="F153" s="8">
        <v>43646</v>
      </c>
      <c r="G153" s="3" t="s">
        <v>56</v>
      </c>
      <c r="H153" s="3" t="s">
        <v>64</v>
      </c>
      <c r="I153" s="10">
        <v>3408</v>
      </c>
      <c r="J153" s="3" t="str">
        <f>IFERROR(VLOOKUP(B153, People!A:B, 2, FALSE), "")</f>
        <v/>
      </c>
    </row>
    <row r="154" spans="1:10" ht="13" x14ac:dyDescent="0.15">
      <c r="A154" s="3" t="s">
        <v>172</v>
      </c>
      <c r="B154" s="3" t="s">
        <v>173</v>
      </c>
      <c r="C154" s="3" t="s">
        <v>43</v>
      </c>
      <c r="D154" s="3" t="s">
        <v>63</v>
      </c>
      <c r="E154" s="3" t="s">
        <v>54</v>
      </c>
      <c r="F154" s="8">
        <v>43553</v>
      </c>
      <c r="G154" s="3" t="s">
        <v>56</v>
      </c>
      <c r="H154" s="3" t="s">
        <v>60</v>
      </c>
      <c r="I154" s="10">
        <v>23924.16</v>
      </c>
      <c r="J154" s="3" t="str">
        <f>IFERROR(VLOOKUP(B154, People!A:B, 2, FALSE), "")</f>
        <v/>
      </c>
    </row>
    <row r="155" spans="1:10" ht="13" x14ac:dyDescent="0.15">
      <c r="A155" s="3" t="s">
        <v>172</v>
      </c>
      <c r="B155" s="3" t="s">
        <v>173</v>
      </c>
      <c r="C155" s="3" t="s">
        <v>43</v>
      </c>
      <c r="D155" s="3" t="s">
        <v>63</v>
      </c>
      <c r="E155" s="3" t="s">
        <v>54</v>
      </c>
      <c r="F155" s="8">
        <v>43553</v>
      </c>
      <c r="G155" s="3" t="s">
        <v>56</v>
      </c>
      <c r="H155" s="3" t="s">
        <v>64</v>
      </c>
      <c r="I155" s="10">
        <v>15284.88</v>
      </c>
      <c r="J155" s="3" t="str">
        <f>IFERROR(VLOOKUP(B155, People!A:B, 2, FALSE), "")</f>
        <v/>
      </c>
    </row>
    <row r="156" spans="1:10" ht="13" x14ac:dyDescent="0.15">
      <c r="A156" s="3" t="s">
        <v>172</v>
      </c>
      <c r="B156" s="3" t="s">
        <v>173</v>
      </c>
      <c r="C156" s="3" t="s">
        <v>43</v>
      </c>
      <c r="D156" s="3" t="s">
        <v>63</v>
      </c>
      <c r="E156" s="3" t="s">
        <v>54</v>
      </c>
      <c r="F156" s="8">
        <v>43553</v>
      </c>
      <c r="G156" s="3" t="s">
        <v>56</v>
      </c>
      <c r="H156" s="3" t="s">
        <v>64</v>
      </c>
      <c r="I156" s="10">
        <v>15284.88</v>
      </c>
      <c r="J156" s="3" t="str">
        <f>IFERROR(VLOOKUP(B156, People!A:B, 2, FALSE), "")</f>
        <v/>
      </c>
    </row>
    <row r="157" spans="1:10" ht="13" x14ac:dyDescent="0.15">
      <c r="A157" s="3" t="s">
        <v>174</v>
      </c>
      <c r="B157" s="3" t="s">
        <v>175</v>
      </c>
      <c r="C157" s="3" t="s">
        <v>43</v>
      </c>
      <c r="D157" s="3" t="s">
        <v>51</v>
      </c>
      <c r="E157" s="3" t="s">
        <v>75</v>
      </c>
      <c r="F157" s="8">
        <v>43538</v>
      </c>
      <c r="G157" s="3" t="s">
        <v>56</v>
      </c>
      <c r="H157" s="3" t="s">
        <v>58</v>
      </c>
      <c r="I157" s="10">
        <v>38449.19</v>
      </c>
      <c r="J157" s="3" t="str">
        <f>IFERROR(VLOOKUP(B157, People!A:B, 2, FALSE), "")</f>
        <v/>
      </c>
    </row>
    <row r="158" spans="1:10" ht="13" x14ac:dyDescent="0.15">
      <c r="A158" s="3" t="s">
        <v>176</v>
      </c>
      <c r="B158" s="3" t="s">
        <v>137</v>
      </c>
      <c r="C158" s="3" t="s">
        <v>41</v>
      </c>
      <c r="D158" s="3" t="s">
        <v>63</v>
      </c>
      <c r="E158" s="3" t="s">
        <v>75</v>
      </c>
      <c r="F158" s="8">
        <v>43551</v>
      </c>
      <c r="G158" s="3" t="s">
        <v>56</v>
      </c>
      <c r="H158" s="3" t="s">
        <v>64</v>
      </c>
      <c r="I158" s="10">
        <v>5509.03</v>
      </c>
      <c r="J158" s="3" t="str">
        <f>IFERROR(VLOOKUP(B158, People!A:B, 2, FALSE), "")</f>
        <v/>
      </c>
    </row>
    <row r="159" spans="1:10" ht="13" x14ac:dyDescent="0.15">
      <c r="A159" s="3" t="s">
        <v>176</v>
      </c>
      <c r="B159" s="3" t="s">
        <v>137</v>
      </c>
      <c r="C159" s="3" t="s">
        <v>41</v>
      </c>
      <c r="D159" s="3" t="s">
        <v>63</v>
      </c>
      <c r="E159" s="3" t="s">
        <v>75</v>
      </c>
      <c r="F159" s="8">
        <v>43551</v>
      </c>
      <c r="G159" s="3" t="s">
        <v>56</v>
      </c>
      <c r="H159" s="3" t="s">
        <v>64</v>
      </c>
      <c r="I159" s="10">
        <v>2717.88</v>
      </c>
      <c r="J159" s="3" t="str">
        <f>IFERROR(VLOOKUP(B159, People!A:B, 2, FALSE), "")</f>
        <v/>
      </c>
    </row>
    <row r="160" spans="1:10" ht="13" x14ac:dyDescent="0.15">
      <c r="A160" s="3" t="s">
        <v>177</v>
      </c>
      <c r="B160" s="3" t="s">
        <v>178</v>
      </c>
      <c r="C160" s="3" t="s">
        <v>43</v>
      </c>
      <c r="D160" s="3" t="s">
        <v>63</v>
      </c>
      <c r="E160" s="3" t="s">
        <v>54</v>
      </c>
      <c r="F160" s="8">
        <v>43643</v>
      </c>
      <c r="G160" s="3" t="s">
        <v>114</v>
      </c>
      <c r="H160" s="3" t="s">
        <v>115</v>
      </c>
      <c r="I160" s="10">
        <v>104370</v>
      </c>
      <c r="J160" s="3" t="str">
        <f>IFERROR(VLOOKUP(B160, People!A:B, 2, FALSE), "")</f>
        <v/>
      </c>
    </row>
    <row r="161" spans="1:10" ht="13" x14ac:dyDescent="0.15">
      <c r="A161" s="3" t="s">
        <v>177</v>
      </c>
      <c r="B161" s="3" t="s">
        <v>178</v>
      </c>
      <c r="C161" s="3" t="s">
        <v>43</v>
      </c>
      <c r="D161" s="3" t="s">
        <v>63</v>
      </c>
      <c r="E161" s="3" t="s">
        <v>54</v>
      </c>
      <c r="F161" s="8">
        <v>43643</v>
      </c>
      <c r="G161" s="3" t="s">
        <v>114</v>
      </c>
      <c r="H161" s="3" t="s">
        <v>115</v>
      </c>
      <c r="I161" s="10">
        <v>3976</v>
      </c>
      <c r="J161" s="3" t="str">
        <f>IFERROR(VLOOKUP(B161, People!A:B, 2, FALSE), "")</f>
        <v/>
      </c>
    </row>
    <row r="162" spans="1:10" ht="13" x14ac:dyDescent="0.15">
      <c r="A162" s="3" t="s">
        <v>177</v>
      </c>
      <c r="B162" s="3" t="s">
        <v>178</v>
      </c>
      <c r="C162" s="3" t="s">
        <v>43</v>
      </c>
      <c r="D162" s="3" t="s">
        <v>63</v>
      </c>
      <c r="E162" s="3" t="s">
        <v>54</v>
      </c>
      <c r="F162" s="8">
        <v>43643</v>
      </c>
      <c r="G162" s="3" t="s">
        <v>114</v>
      </c>
      <c r="H162" s="3" t="s">
        <v>115</v>
      </c>
      <c r="I162" s="10">
        <v>20874</v>
      </c>
      <c r="J162" s="3" t="str">
        <f>IFERROR(VLOOKUP(B162, People!A:B, 2, FALSE), "")</f>
        <v/>
      </c>
    </row>
    <row r="163" spans="1:10" ht="13" x14ac:dyDescent="0.15">
      <c r="A163" s="3" t="s">
        <v>179</v>
      </c>
      <c r="B163" s="3" t="s">
        <v>17</v>
      </c>
      <c r="C163" s="3" t="s">
        <v>43</v>
      </c>
      <c r="D163" s="3" t="s">
        <v>63</v>
      </c>
      <c r="E163" s="3" t="s">
        <v>75</v>
      </c>
      <c r="F163" s="8">
        <v>43544</v>
      </c>
      <c r="G163" s="3" t="s">
        <v>56</v>
      </c>
      <c r="H163" s="3" t="s">
        <v>58</v>
      </c>
      <c r="I163" s="3">
        <v>-879.26</v>
      </c>
      <c r="J163" s="3" t="str">
        <f>IFERROR(VLOOKUP(B163, People!A:B, 2, FALSE), "")</f>
        <v>Edward Nygma</v>
      </c>
    </row>
    <row r="164" spans="1:10" ht="13" x14ac:dyDescent="0.15">
      <c r="A164" s="3" t="s">
        <v>179</v>
      </c>
      <c r="B164" s="3" t="s">
        <v>17</v>
      </c>
      <c r="C164" s="3" t="s">
        <v>43</v>
      </c>
      <c r="D164" s="3" t="s">
        <v>63</v>
      </c>
      <c r="E164" s="3" t="s">
        <v>75</v>
      </c>
      <c r="F164" s="8">
        <v>43544</v>
      </c>
      <c r="G164" s="3" t="s">
        <v>56</v>
      </c>
      <c r="H164" s="3" t="s">
        <v>64</v>
      </c>
      <c r="I164" s="10">
        <v>3958.39</v>
      </c>
      <c r="J164" s="3" t="str">
        <f>IFERROR(VLOOKUP(B164, People!A:B, 2, FALSE), "")</f>
        <v>Edward Nygma</v>
      </c>
    </row>
    <row r="165" spans="1:10" ht="13" x14ac:dyDescent="0.15">
      <c r="A165" s="3" t="s">
        <v>180</v>
      </c>
      <c r="B165" s="3" t="s">
        <v>119</v>
      </c>
      <c r="C165" s="3" t="s">
        <v>40</v>
      </c>
      <c r="D165" s="3" t="s">
        <v>51</v>
      </c>
      <c r="E165" s="3" t="s">
        <v>75</v>
      </c>
      <c r="F165" s="8">
        <v>43549</v>
      </c>
      <c r="G165" s="3" t="s">
        <v>56</v>
      </c>
      <c r="H165" s="3" t="s">
        <v>58</v>
      </c>
      <c r="I165" s="10">
        <v>22102.92</v>
      </c>
      <c r="J165" s="3" t="str">
        <f>IFERROR(VLOOKUP(B165, People!A:B, 2, FALSE), "")</f>
        <v/>
      </c>
    </row>
    <row r="166" spans="1:10" ht="13" x14ac:dyDescent="0.15">
      <c r="A166" s="3" t="s">
        <v>180</v>
      </c>
      <c r="B166" s="3" t="s">
        <v>119</v>
      </c>
      <c r="C166" s="3" t="s">
        <v>40</v>
      </c>
      <c r="D166" s="3" t="s">
        <v>51</v>
      </c>
      <c r="E166" s="3" t="s">
        <v>75</v>
      </c>
      <c r="F166" s="8">
        <v>43549</v>
      </c>
      <c r="G166" s="3" t="s">
        <v>56</v>
      </c>
      <c r="H166" s="3" t="s">
        <v>60</v>
      </c>
      <c r="I166" s="10">
        <v>11051.46</v>
      </c>
      <c r="J166" s="3" t="str">
        <f>IFERROR(VLOOKUP(B166, People!A:B, 2, FALSE), "")</f>
        <v/>
      </c>
    </row>
    <row r="167" spans="1:10" ht="13" x14ac:dyDescent="0.15">
      <c r="A167" s="3" t="s">
        <v>180</v>
      </c>
      <c r="B167" s="3" t="s">
        <v>119</v>
      </c>
      <c r="C167" s="3" t="s">
        <v>40</v>
      </c>
      <c r="D167" s="3" t="s">
        <v>51</v>
      </c>
      <c r="E167" s="3" t="s">
        <v>75</v>
      </c>
      <c r="F167" s="8">
        <v>43549</v>
      </c>
      <c r="G167" s="3" t="s">
        <v>56</v>
      </c>
      <c r="H167" s="3" t="s">
        <v>64</v>
      </c>
      <c r="I167" s="10">
        <v>7369.02</v>
      </c>
      <c r="J167" s="3" t="str">
        <f>IFERROR(VLOOKUP(B167, People!A:B, 2, FALSE), "")</f>
        <v/>
      </c>
    </row>
    <row r="168" spans="1:10" ht="13" x14ac:dyDescent="0.15">
      <c r="A168" s="3" t="s">
        <v>180</v>
      </c>
      <c r="B168" s="3" t="s">
        <v>119</v>
      </c>
      <c r="C168" s="3" t="s">
        <v>40</v>
      </c>
      <c r="D168" s="3" t="s">
        <v>51</v>
      </c>
      <c r="E168" s="3" t="s">
        <v>75</v>
      </c>
      <c r="F168" s="8">
        <v>43549</v>
      </c>
      <c r="G168" s="3" t="s">
        <v>56</v>
      </c>
      <c r="H168" s="3" t="s">
        <v>64</v>
      </c>
      <c r="I168" s="10">
        <v>3682.45</v>
      </c>
      <c r="J168" s="3" t="str">
        <f>IFERROR(VLOOKUP(B168, People!A:B, 2, FALSE), "")</f>
        <v/>
      </c>
    </row>
    <row r="169" spans="1:10" ht="13" x14ac:dyDescent="0.15">
      <c r="A169" s="3" t="s">
        <v>181</v>
      </c>
      <c r="B169" s="3" t="s">
        <v>167</v>
      </c>
      <c r="C169" s="3" t="s">
        <v>43</v>
      </c>
      <c r="D169" s="3" t="s">
        <v>63</v>
      </c>
      <c r="E169" s="3" t="s">
        <v>75</v>
      </c>
      <c r="F169" s="8">
        <v>43563</v>
      </c>
      <c r="G169" s="3" t="s">
        <v>56</v>
      </c>
      <c r="H169" s="3" t="s">
        <v>58</v>
      </c>
      <c r="I169" s="10">
        <v>22644.46</v>
      </c>
      <c r="J169" s="3" t="str">
        <f>IFERROR(VLOOKUP(B169, People!A:B, 2, FALSE), "")</f>
        <v/>
      </c>
    </row>
    <row r="170" spans="1:10" ht="13" x14ac:dyDescent="0.15">
      <c r="A170" s="3" t="s">
        <v>181</v>
      </c>
      <c r="B170" s="3" t="s">
        <v>167</v>
      </c>
      <c r="C170" s="3" t="s">
        <v>43</v>
      </c>
      <c r="D170" s="3" t="s">
        <v>63</v>
      </c>
      <c r="E170" s="3" t="s">
        <v>75</v>
      </c>
      <c r="F170" s="8">
        <v>43563</v>
      </c>
      <c r="G170" s="3" t="s">
        <v>56</v>
      </c>
      <c r="H170" s="3" t="s">
        <v>64</v>
      </c>
      <c r="I170" s="10">
        <v>6096.91</v>
      </c>
      <c r="J170" s="3" t="str">
        <f>IFERROR(VLOOKUP(B170, People!A:B, 2, FALSE), "")</f>
        <v/>
      </c>
    </row>
    <row r="171" spans="1:10" ht="13" x14ac:dyDescent="0.15">
      <c r="A171" s="3" t="s">
        <v>181</v>
      </c>
      <c r="B171" s="3" t="s">
        <v>167</v>
      </c>
      <c r="C171" s="3" t="s">
        <v>43</v>
      </c>
      <c r="D171" s="3" t="s">
        <v>63</v>
      </c>
      <c r="E171" s="3" t="s">
        <v>75</v>
      </c>
      <c r="F171" s="8">
        <v>43563</v>
      </c>
      <c r="G171" s="3" t="s">
        <v>56</v>
      </c>
      <c r="H171" s="3" t="s">
        <v>64</v>
      </c>
      <c r="I171" s="10">
        <v>3048.46</v>
      </c>
      <c r="J171" s="3" t="str">
        <f>IFERROR(VLOOKUP(B171, People!A:B, 2, FALSE), "")</f>
        <v/>
      </c>
    </row>
    <row r="172" spans="1:10" ht="13" x14ac:dyDescent="0.15">
      <c r="A172" s="3" t="s">
        <v>182</v>
      </c>
      <c r="B172" s="3" t="s">
        <v>9</v>
      </c>
      <c r="C172" s="3" t="s">
        <v>40</v>
      </c>
      <c r="D172" s="3" t="s">
        <v>63</v>
      </c>
      <c r="E172" s="3" t="s">
        <v>54</v>
      </c>
      <c r="F172" s="8">
        <v>43600</v>
      </c>
      <c r="G172" s="3" t="s">
        <v>56</v>
      </c>
      <c r="H172" s="3" t="s">
        <v>58</v>
      </c>
      <c r="I172" s="3">
        <v>434.52</v>
      </c>
      <c r="J172" s="3" t="str">
        <f>IFERROR(VLOOKUP(B172, People!A:B, 2, FALSE), "")</f>
        <v>Charlie Day</v>
      </c>
    </row>
    <row r="173" spans="1:10" ht="13" x14ac:dyDescent="0.15">
      <c r="A173" s="3" t="s">
        <v>182</v>
      </c>
      <c r="B173" s="3" t="s">
        <v>9</v>
      </c>
      <c r="C173" s="3" t="s">
        <v>40</v>
      </c>
      <c r="D173" s="3" t="s">
        <v>63</v>
      </c>
      <c r="E173" s="3" t="s">
        <v>54</v>
      </c>
      <c r="F173" s="8">
        <v>43600</v>
      </c>
      <c r="G173" s="3" t="s">
        <v>56</v>
      </c>
      <c r="H173" s="3" t="s">
        <v>60</v>
      </c>
      <c r="I173" s="10">
        <v>2607.12</v>
      </c>
      <c r="J173" s="3" t="str">
        <f>IFERROR(VLOOKUP(B173, People!A:B, 2, FALSE), "")</f>
        <v>Charlie Day</v>
      </c>
    </row>
    <row r="174" spans="1:10" ht="13" x14ac:dyDescent="0.15">
      <c r="A174" s="3" t="s">
        <v>182</v>
      </c>
      <c r="B174" s="3" t="s">
        <v>9</v>
      </c>
      <c r="C174" s="3" t="s">
        <v>40</v>
      </c>
      <c r="D174" s="3" t="s">
        <v>63</v>
      </c>
      <c r="E174" s="3" t="s">
        <v>54</v>
      </c>
      <c r="F174" s="8">
        <v>43600</v>
      </c>
      <c r="G174" s="3" t="s">
        <v>56</v>
      </c>
      <c r="H174" s="3" t="s">
        <v>64</v>
      </c>
      <c r="I174" s="3">
        <v>869.04</v>
      </c>
      <c r="J174" s="3" t="str">
        <f>IFERROR(VLOOKUP(B174, People!A:B, 2, FALSE), "")</f>
        <v>Charlie Day</v>
      </c>
    </row>
    <row r="175" spans="1:10" ht="13" x14ac:dyDescent="0.15">
      <c r="A175" s="3" t="s">
        <v>182</v>
      </c>
      <c r="B175" s="3" t="s">
        <v>9</v>
      </c>
      <c r="C175" s="3" t="s">
        <v>40</v>
      </c>
      <c r="D175" s="3" t="s">
        <v>63</v>
      </c>
      <c r="E175" s="3" t="s">
        <v>54</v>
      </c>
      <c r="F175" s="8">
        <v>43600</v>
      </c>
      <c r="G175" s="3" t="s">
        <v>56</v>
      </c>
      <c r="H175" s="3" t="s">
        <v>64</v>
      </c>
      <c r="I175" s="3">
        <v>869.04</v>
      </c>
      <c r="J175" s="3" t="str">
        <f>IFERROR(VLOOKUP(B175, People!A:B, 2, FALSE), "")</f>
        <v>Charlie Day</v>
      </c>
    </row>
    <row r="176" spans="1:10" ht="13" x14ac:dyDescent="0.15">
      <c r="A176" s="3" t="s">
        <v>183</v>
      </c>
      <c r="B176" s="3" t="s">
        <v>184</v>
      </c>
      <c r="C176" s="3" t="s">
        <v>43</v>
      </c>
      <c r="D176" s="3" t="s">
        <v>63</v>
      </c>
      <c r="E176" s="3" t="s">
        <v>75</v>
      </c>
      <c r="F176" s="8">
        <v>43629</v>
      </c>
      <c r="G176" s="3" t="s">
        <v>56</v>
      </c>
      <c r="H176" s="3" t="s">
        <v>60</v>
      </c>
      <c r="I176" s="10">
        <v>15826.75</v>
      </c>
      <c r="J176" s="3" t="str">
        <f>IFERROR(VLOOKUP(B176, People!A:B, 2, FALSE), "")</f>
        <v/>
      </c>
    </row>
    <row r="177" spans="1:10" ht="13" x14ac:dyDescent="0.15">
      <c r="A177" s="3" t="s">
        <v>183</v>
      </c>
      <c r="B177" s="3" t="s">
        <v>184</v>
      </c>
      <c r="C177" s="3" t="s">
        <v>43</v>
      </c>
      <c r="D177" s="3" t="s">
        <v>63</v>
      </c>
      <c r="E177" s="3" t="s">
        <v>75</v>
      </c>
      <c r="F177" s="8">
        <v>43629</v>
      </c>
      <c r="G177" s="3" t="s">
        <v>56</v>
      </c>
      <c r="H177" s="3" t="s">
        <v>64</v>
      </c>
      <c r="I177" s="10">
        <v>10551.17</v>
      </c>
      <c r="J177" s="3" t="str">
        <f>IFERROR(VLOOKUP(B177, People!A:B, 2, FALSE), "")</f>
        <v/>
      </c>
    </row>
    <row r="178" spans="1:10" ht="13" x14ac:dyDescent="0.15">
      <c r="A178" s="3" t="s">
        <v>183</v>
      </c>
      <c r="B178" s="3" t="s">
        <v>184</v>
      </c>
      <c r="C178" s="3" t="s">
        <v>43</v>
      </c>
      <c r="D178" s="3" t="s">
        <v>63</v>
      </c>
      <c r="E178" s="3" t="s">
        <v>75</v>
      </c>
      <c r="F178" s="8">
        <v>43629</v>
      </c>
      <c r="G178" s="3" t="s">
        <v>56</v>
      </c>
      <c r="H178" s="3" t="s">
        <v>64</v>
      </c>
      <c r="I178" s="10">
        <v>5275.58</v>
      </c>
      <c r="J178" s="3" t="str">
        <f>IFERROR(VLOOKUP(B178, People!A:B, 2, FALSE), "")</f>
        <v/>
      </c>
    </row>
    <row r="179" spans="1:10" ht="13" x14ac:dyDescent="0.15">
      <c r="A179" s="3" t="s">
        <v>185</v>
      </c>
      <c r="B179" s="3" t="s">
        <v>186</v>
      </c>
      <c r="C179" s="3" t="s">
        <v>43</v>
      </c>
      <c r="D179" s="3" t="s">
        <v>63</v>
      </c>
      <c r="E179" s="3" t="s">
        <v>54</v>
      </c>
      <c r="F179" s="8">
        <v>43636</v>
      </c>
      <c r="G179" s="3" t="s">
        <v>56</v>
      </c>
      <c r="H179" s="3" t="s">
        <v>64</v>
      </c>
      <c r="I179" s="10">
        <v>8520</v>
      </c>
      <c r="J179" s="3" t="str">
        <f>IFERROR(VLOOKUP(B179, People!A:B, 2, FALSE), "")</f>
        <v/>
      </c>
    </row>
    <row r="180" spans="1:10" ht="13" x14ac:dyDescent="0.15">
      <c r="A180" s="3" t="s">
        <v>187</v>
      </c>
      <c r="B180" s="3" t="s">
        <v>188</v>
      </c>
      <c r="C180" s="3" t="s">
        <v>43</v>
      </c>
      <c r="D180" s="3" t="s">
        <v>63</v>
      </c>
      <c r="E180" s="3" t="s">
        <v>75</v>
      </c>
      <c r="F180" s="8">
        <v>43640</v>
      </c>
      <c r="G180" s="3" t="s">
        <v>56</v>
      </c>
      <c r="H180" s="3" t="s">
        <v>58</v>
      </c>
      <c r="I180" s="10">
        <v>3067.2</v>
      </c>
      <c r="J180" s="3" t="str">
        <f>IFERROR(VLOOKUP(B180, People!A:B, 2, FALSE), "")</f>
        <v/>
      </c>
    </row>
    <row r="181" spans="1:10" ht="13" x14ac:dyDescent="0.15">
      <c r="A181" s="3" t="s">
        <v>187</v>
      </c>
      <c r="B181" s="3" t="s">
        <v>188</v>
      </c>
      <c r="C181" s="3" t="s">
        <v>43</v>
      </c>
      <c r="D181" s="3" t="s">
        <v>63</v>
      </c>
      <c r="E181" s="3" t="s">
        <v>75</v>
      </c>
      <c r="F181" s="8">
        <v>43640</v>
      </c>
      <c r="G181" s="3" t="s">
        <v>56</v>
      </c>
      <c r="H181" s="3" t="s">
        <v>60</v>
      </c>
      <c r="I181" s="10">
        <v>3834</v>
      </c>
      <c r="J181" s="3" t="str">
        <f>IFERROR(VLOOKUP(B181, People!A:B, 2, FALSE), "")</f>
        <v/>
      </c>
    </row>
    <row r="182" spans="1:10" ht="13" x14ac:dyDescent="0.15">
      <c r="A182" s="3" t="s">
        <v>187</v>
      </c>
      <c r="B182" s="3" t="s">
        <v>188</v>
      </c>
      <c r="C182" s="3" t="s">
        <v>43</v>
      </c>
      <c r="D182" s="3" t="s">
        <v>63</v>
      </c>
      <c r="E182" s="3" t="s">
        <v>75</v>
      </c>
      <c r="F182" s="8">
        <v>43640</v>
      </c>
      <c r="G182" s="3" t="s">
        <v>56</v>
      </c>
      <c r="H182" s="3" t="s">
        <v>64</v>
      </c>
      <c r="I182" s="10">
        <v>1533.6</v>
      </c>
      <c r="J182" s="3" t="str">
        <f>IFERROR(VLOOKUP(B182, People!A:B, 2, FALSE), "")</f>
        <v/>
      </c>
    </row>
    <row r="183" spans="1:10" ht="13" x14ac:dyDescent="0.15">
      <c r="A183" s="3" t="s">
        <v>187</v>
      </c>
      <c r="B183" s="3" t="s">
        <v>188</v>
      </c>
      <c r="C183" s="3" t="s">
        <v>43</v>
      </c>
      <c r="D183" s="3" t="s">
        <v>63</v>
      </c>
      <c r="E183" s="3" t="s">
        <v>75</v>
      </c>
      <c r="F183" s="8">
        <v>43640</v>
      </c>
      <c r="G183" s="3" t="s">
        <v>56</v>
      </c>
      <c r="H183" s="3" t="s">
        <v>64</v>
      </c>
      <c r="I183" s="3">
        <v>766.8</v>
      </c>
      <c r="J183" s="3" t="str">
        <f>IFERROR(VLOOKUP(B183, People!A:B, 2, FALSE), "")</f>
        <v/>
      </c>
    </row>
    <row r="184" spans="1:10" ht="13" x14ac:dyDescent="0.15">
      <c r="A184" s="3" t="s">
        <v>189</v>
      </c>
      <c r="B184" s="3" t="s">
        <v>25</v>
      </c>
      <c r="C184" s="3" t="s">
        <v>40</v>
      </c>
      <c r="D184" s="3" t="s">
        <v>51</v>
      </c>
      <c r="E184" s="3" t="s">
        <v>75</v>
      </c>
      <c r="F184" s="8">
        <v>43642</v>
      </c>
      <c r="G184" s="3" t="s">
        <v>56</v>
      </c>
      <c r="H184" s="3" t="s">
        <v>58</v>
      </c>
      <c r="I184" s="10">
        <v>9657.66</v>
      </c>
      <c r="J184" s="3" t="str">
        <f>IFERROR(VLOOKUP(B184, People!A:B, 2, FALSE), "")</f>
        <v>George Bluth</v>
      </c>
    </row>
    <row r="185" spans="1:10" ht="13" x14ac:dyDescent="0.15">
      <c r="A185" s="3" t="s">
        <v>189</v>
      </c>
      <c r="B185" s="3" t="s">
        <v>25</v>
      </c>
      <c r="C185" s="3" t="s">
        <v>40</v>
      </c>
      <c r="D185" s="3" t="s">
        <v>51</v>
      </c>
      <c r="E185" s="3" t="s">
        <v>75</v>
      </c>
      <c r="F185" s="8">
        <v>43642</v>
      </c>
      <c r="G185" s="3" t="s">
        <v>56</v>
      </c>
      <c r="H185" s="3" t="s">
        <v>60</v>
      </c>
      <c r="I185" s="10">
        <v>7241.18</v>
      </c>
      <c r="J185" s="3" t="str">
        <f>IFERROR(VLOOKUP(B185, People!A:B, 2, FALSE), "")</f>
        <v>George Bluth</v>
      </c>
    </row>
    <row r="186" spans="1:10" ht="13" x14ac:dyDescent="0.15">
      <c r="A186" s="3" t="s">
        <v>189</v>
      </c>
      <c r="B186" s="3" t="s">
        <v>25</v>
      </c>
      <c r="C186" s="3" t="s">
        <v>40</v>
      </c>
      <c r="D186" s="3" t="s">
        <v>51</v>
      </c>
      <c r="E186" s="3" t="s">
        <v>75</v>
      </c>
      <c r="F186" s="8">
        <v>43642</v>
      </c>
      <c r="G186" s="3" t="s">
        <v>56</v>
      </c>
      <c r="H186" s="3" t="s">
        <v>64</v>
      </c>
      <c r="I186" s="10">
        <v>4828.83</v>
      </c>
      <c r="J186" s="3" t="str">
        <f>IFERROR(VLOOKUP(B186, People!A:B, 2, FALSE), "")</f>
        <v>George Bluth</v>
      </c>
    </row>
    <row r="187" spans="1:10" ht="13" x14ac:dyDescent="0.15">
      <c r="A187" s="3" t="s">
        <v>189</v>
      </c>
      <c r="B187" s="3" t="s">
        <v>25</v>
      </c>
      <c r="C187" s="3" t="s">
        <v>40</v>
      </c>
      <c r="D187" s="3" t="s">
        <v>51</v>
      </c>
      <c r="E187" s="3" t="s">
        <v>75</v>
      </c>
      <c r="F187" s="8">
        <v>43642</v>
      </c>
      <c r="G187" s="3" t="s">
        <v>56</v>
      </c>
      <c r="H187" s="3" t="s">
        <v>64</v>
      </c>
      <c r="I187" s="10">
        <v>2412.35</v>
      </c>
      <c r="J187" s="3" t="str">
        <f>IFERROR(VLOOKUP(B187, People!A:B, 2, FALSE), "")</f>
        <v>George Bluth</v>
      </c>
    </row>
    <row r="188" spans="1:10" ht="13" x14ac:dyDescent="0.15">
      <c r="A188" s="3" t="s">
        <v>190</v>
      </c>
      <c r="B188" s="3" t="s">
        <v>7</v>
      </c>
      <c r="C188" s="3" t="s">
        <v>40</v>
      </c>
      <c r="D188" s="3" t="s">
        <v>51</v>
      </c>
      <c r="E188" s="3" t="s">
        <v>75</v>
      </c>
      <c r="F188" s="8">
        <v>43675</v>
      </c>
      <c r="G188" s="3" t="s">
        <v>56</v>
      </c>
      <c r="H188" s="3" t="s">
        <v>58</v>
      </c>
      <c r="I188" s="10">
        <v>13315.36</v>
      </c>
      <c r="J188" s="3" t="str">
        <f>IFERROR(VLOOKUP(B188, People!A:B, 2, FALSE), "")</f>
        <v>Bob Smith</v>
      </c>
    </row>
    <row r="189" spans="1:10" ht="13" x14ac:dyDescent="0.15">
      <c r="A189" s="3" t="s">
        <v>190</v>
      </c>
      <c r="B189" s="3" t="s">
        <v>7</v>
      </c>
      <c r="C189" s="3" t="s">
        <v>40</v>
      </c>
      <c r="D189" s="3" t="s">
        <v>51</v>
      </c>
      <c r="E189" s="3" t="s">
        <v>75</v>
      </c>
      <c r="F189" s="8">
        <v>43675</v>
      </c>
      <c r="G189" s="3" t="s">
        <v>56</v>
      </c>
      <c r="H189" s="3" t="s">
        <v>60</v>
      </c>
      <c r="I189" s="10">
        <v>14799.89</v>
      </c>
      <c r="J189" s="3" t="str">
        <f>IFERROR(VLOOKUP(B189, People!A:B, 2, FALSE), "")</f>
        <v>Bob Smith</v>
      </c>
    </row>
    <row r="190" spans="1:10" ht="13" x14ac:dyDescent="0.15">
      <c r="A190" s="3" t="s">
        <v>190</v>
      </c>
      <c r="B190" s="3" t="s">
        <v>7</v>
      </c>
      <c r="C190" s="3" t="s">
        <v>40</v>
      </c>
      <c r="D190" s="3" t="s">
        <v>51</v>
      </c>
      <c r="E190" s="3" t="s">
        <v>75</v>
      </c>
      <c r="F190" s="8">
        <v>43675</v>
      </c>
      <c r="G190" s="3" t="s">
        <v>56</v>
      </c>
      <c r="H190" s="3" t="s">
        <v>64</v>
      </c>
      <c r="I190" s="10">
        <v>3327.81</v>
      </c>
      <c r="J190" s="3" t="str">
        <f>IFERROR(VLOOKUP(B190, People!A:B, 2, FALSE), "")</f>
        <v>Bob Smith</v>
      </c>
    </row>
    <row r="191" spans="1:10" ht="13" x14ac:dyDescent="0.15">
      <c r="A191" s="3" t="s">
        <v>190</v>
      </c>
      <c r="B191" s="3" t="s">
        <v>7</v>
      </c>
      <c r="C191" s="3" t="s">
        <v>40</v>
      </c>
      <c r="D191" s="3" t="s">
        <v>51</v>
      </c>
      <c r="E191" s="3" t="s">
        <v>75</v>
      </c>
      <c r="F191" s="8">
        <v>43675</v>
      </c>
      <c r="G191" s="3" t="s">
        <v>56</v>
      </c>
      <c r="H191" s="3" t="s">
        <v>64</v>
      </c>
      <c r="I191" s="10">
        <v>1665.97</v>
      </c>
      <c r="J191" s="3" t="str">
        <f>IFERROR(VLOOKUP(B191, People!A:B, 2, FALSE), "")</f>
        <v>Bob Smith</v>
      </c>
    </row>
    <row r="192" spans="1:10" ht="13" x14ac:dyDescent="0.15">
      <c r="A192" s="3" t="s">
        <v>191</v>
      </c>
      <c r="B192" s="3" t="s">
        <v>192</v>
      </c>
      <c r="C192" s="3" t="s">
        <v>43</v>
      </c>
      <c r="D192" s="3" t="s">
        <v>51</v>
      </c>
      <c r="E192" s="3" t="s">
        <v>75</v>
      </c>
      <c r="F192" s="8">
        <v>43794</v>
      </c>
      <c r="G192" s="3" t="s">
        <v>56</v>
      </c>
      <c r="H192" s="3" t="s">
        <v>60</v>
      </c>
      <c r="I192" s="10">
        <v>105046.62</v>
      </c>
      <c r="J192" s="3" t="str">
        <f>IFERROR(VLOOKUP(B192, People!A:B, 2, FALSE), "")</f>
        <v/>
      </c>
    </row>
    <row r="193" spans="1:10" ht="13" x14ac:dyDescent="0.15">
      <c r="A193" s="3" t="s">
        <v>191</v>
      </c>
      <c r="B193" s="3" t="s">
        <v>192</v>
      </c>
      <c r="C193" s="3" t="s">
        <v>43</v>
      </c>
      <c r="D193" s="3" t="s">
        <v>51</v>
      </c>
      <c r="E193" s="3" t="s">
        <v>75</v>
      </c>
      <c r="F193" s="8">
        <v>43794</v>
      </c>
      <c r="G193" s="3" t="s">
        <v>56</v>
      </c>
      <c r="H193" s="3" t="s">
        <v>64</v>
      </c>
      <c r="I193" s="10">
        <v>32478.1</v>
      </c>
      <c r="J193" s="3" t="str">
        <f>IFERROR(VLOOKUP(B193, People!A:B, 2, FALSE), "")</f>
        <v/>
      </c>
    </row>
    <row r="194" spans="1:10" ht="13" x14ac:dyDescent="0.15">
      <c r="A194" s="3" t="s">
        <v>191</v>
      </c>
      <c r="B194" s="3" t="s">
        <v>192</v>
      </c>
      <c r="C194" s="3" t="s">
        <v>43</v>
      </c>
      <c r="D194" s="3" t="s">
        <v>51</v>
      </c>
      <c r="E194" s="3" t="s">
        <v>75</v>
      </c>
      <c r="F194" s="8">
        <v>43794</v>
      </c>
      <c r="G194" s="3" t="s">
        <v>56</v>
      </c>
      <c r="H194" s="3" t="s">
        <v>64</v>
      </c>
      <c r="I194" s="10">
        <v>32478.1</v>
      </c>
      <c r="J194" s="3" t="str">
        <f>IFERROR(VLOOKUP(B194, People!A:B, 2, FALSE), "")</f>
        <v/>
      </c>
    </row>
    <row r="195" spans="1:10" ht="13" x14ac:dyDescent="0.15">
      <c r="A195" s="3" t="s">
        <v>193</v>
      </c>
      <c r="B195" s="3" t="s">
        <v>155</v>
      </c>
      <c r="C195" s="3" t="s">
        <v>43</v>
      </c>
      <c r="D195" s="3" t="s">
        <v>51</v>
      </c>
      <c r="E195" s="3" t="s">
        <v>75</v>
      </c>
      <c r="F195" s="8">
        <v>43697</v>
      </c>
      <c r="G195" s="3" t="s">
        <v>56</v>
      </c>
      <c r="H195" s="3" t="s">
        <v>58</v>
      </c>
      <c r="I195" s="10">
        <v>17814.3</v>
      </c>
      <c r="J195" s="3" t="str">
        <f>IFERROR(VLOOKUP(B195, People!A:B, 2, FALSE), "")</f>
        <v/>
      </c>
    </row>
    <row r="196" spans="1:10" ht="13" x14ac:dyDescent="0.15">
      <c r="A196" s="3" t="s">
        <v>193</v>
      </c>
      <c r="B196" s="3" t="s">
        <v>155</v>
      </c>
      <c r="C196" s="3" t="s">
        <v>43</v>
      </c>
      <c r="D196" s="3" t="s">
        <v>51</v>
      </c>
      <c r="E196" s="3" t="s">
        <v>75</v>
      </c>
      <c r="F196" s="8">
        <v>43697</v>
      </c>
      <c r="G196" s="3" t="s">
        <v>56</v>
      </c>
      <c r="H196" s="3" t="s">
        <v>60</v>
      </c>
      <c r="I196" s="10">
        <v>4230.8999999999996</v>
      </c>
      <c r="J196" s="3" t="str">
        <f>IFERROR(VLOOKUP(B196, People!A:B, 2, FALSE), "")</f>
        <v/>
      </c>
    </row>
    <row r="197" spans="1:10" ht="13" x14ac:dyDescent="0.15">
      <c r="A197" s="3" t="s">
        <v>193</v>
      </c>
      <c r="B197" s="3" t="s">
        <v>155</v>
      </c>
      <c r="C197" s="3" t="s">
        <v>43</v>
      </c>
      <c r="D197" s="3" t="s">
        <v>51</v>
      </c>
      <c r="E197" s="3" t="s">
        <v>75</v>
      </c>
      <c r="F197" s="8">
        <v>43697</v>
      </c>
      <c r="G197" s="3" t="s">
        <v>56</v>
      </c>
      <c r="H197" s="3" t="s">
        <v>64</v>
      </c>
      <c r="I197" s="10">
        <v>5010.2700000000004</v>
      </c>
      <c r="J197" s="3" t="str">
        <f>IFERROR(VLOOKUP(B197, People!A:B, 2, FALSE), "")</f>
        <v/>
      </c>
    </row>
    <row r="198" spans="1:10" ht="13" x14ac:dyDescent="0.15">
      <c r="A198" s="3" t="s">
        <v>193</v>
      </c>
      <c r="B198" s="3" t="s">
        <v>155</v>
      </c>
      <c r="C198" s="3" t="s">
        <v>43</v>
      </c>
      <c r="D198" s="3" t="s">
        <v>51</v>
      </c>
      <c r="E198" s="3" t="s">
        <v>75</v>
      </c>
      <c r="F198" s="8">
        <v>43697</v>
      </c>
      <c r="G198" s="3" t="s">
        <v>56</v>
      </c>
      <c r="H198" s="3" t="s">
        <v>64</v>
      </c>
      <c r="I198" s="10">
        <v>2226.79</v>
      </c>
      <c r="J198" s="3" t="str">
        <f>IFERROR(VLOOKUP(B198, People!A:B, 2, FALSE), "")</f>
        <v/>
      </c>
    </row>
    <row r="199" spans="1:10" ht="13" x14ac:dyDescent="0.15">
      <c r="A199" s="3" t="s">
        <v>194</v>
      </c>
      <c r="B199" s="3" t="s">
        <v>133</v>
      </c>
      <c r="C199" s="3" t="s">
        <v>40</v>
      </c>
      <c r="D199" s="3" t="s">
        <v>63</v>
      </c>
      <c r="E199" s="3" t="s">
        <v>75</v>
      </c>
      <c r="F199" s="8">
        <v>43706</v>
      </c>
      <c r="G199" s="3" t="s">
        <v>56</v>
      </c>
      <c r="H199" s="3" t="s">
        <v>58</v>
      </c>
      <c r="I199" s="3">
        <v>305.02</v>
      </c>
      <c r="J199" s="3" t="str">
        <f>IFERROR(VLOOKUP(B199, People!A:B, 2, FALSE), "")</f>
        <v/>
      </c>
    </row>
    <row r="200" spans="1:10" ht="13" x14ac:dyDescent="0.15">
      <c r="A200" s="3" t="s">
        <v>194</v>
      </c>
      <c r="B200" s="3" t="s">
        <v>133</v>
      </c>
      <c r="C200" s="3" t="s">
        <v>40</v>
      </c>
      <c r="D200" s="3" t="s">
        <v>63</v>
      </c>
      <c r="E200" s="3" t="s">
        <v>75</v>
      </c>
      <c r="F200" s="8">
        <v>43706</v>
      </c>
      <c r="G200" s="3" t="s">
        <v>56</v>
      </c>
      <c r="H200" s="3" t="s">
        <v>64</v>
      </c>
      <c r="I200" s="3">
        <v>608.33000000000004</v>
      </c>
      <c r="J200" s="3" t="str">
        <f>IFERROR(VLOOKUP(B200, People!A:B, 2, FALSE), "")</f>
        <v/>
      </c>
    </row>
    <row r="201" spans="1:10" ht="13" x14ac:dyDescent="0.15">
      <c r="A201" s="3" t="s">
        <v>194</v>
      </c>
      <c r="B201" s="3" t="s">
        <v>133</v>
      </c>
      <c r="C201" s="3" t="s">
        <v>40</v>
      </c>
      <c r="D201" s="3" t="s">
        <v>63</v>
      </c>
      <c r="E201" s="3" t="s">
        <v>75</v>
      </c>
      <c r="F201" s="8">
        <v>43706</v>
      </c>
      <c r="G201" s="3" t="s">
        <v>56</v>
      </c>
      <c r="H201" s="3" t="s">
        <v>64</v>
      </c>
      <c r="I201" s="3">
        <v>305.02</v>
      </c>
      <c r="J201" s="3" t="str">
        <f>IFERROR(VLOOKUP(B201, People!A:B, 2, FALSE), "")</f>
        <v/>
      </c>
    </row>
    <row r="202" spans="1:10" ht="13" x14ac:dyDescent="0.15">
      <c r="A202" s="3" t="s">
        <v>87</v>
      </c>
      <c r="B202" s="3" t="s">
        <v>25</v>
      </c>
      <c r="C202" s="3" t="s">
        <v>40</v>
      </c>
      <c r="D202" s="3" t="s">
        <v>51</v>
      </c>
      <c r="E202" s="3" t="s">
        <v>75</v>
      </c>
      <c r="F202" s="8">
        <v>43738</v>
      </c>
      <c r="G202" s="3" t="s">
        <v>56</v>
      </c>
      <c r="H202" s="3" t="s">
        <v>60</v>
      </c>
      <c r="I202" s="10">
        <v>120126.92</v>
      </c>
      <c r="J202" s="3" t="str">
        <f>IFERROR(VLOOKUP(B202, People!A:B, 2, FALSE), "")</f>
        <v>George Bluth</v>
      </c>
    </row>
    <row r="203" spans="1:10" ht="13" x14ac:dyDescent="0.15">
      <c r="A203" s="3" t="s">
        <v>87</v>
      </c>
      <c r="B203" s="3" t="s">
        <v>25</v>
      </c>
      <c r="C203" s="3" t="s">
        <v>40</v>
      </c>
      <c r="D203" s="3" t="s">
        <v>51</v>
      </c>
      <c r="E203" s="3" t="s">
        <v>75</v>
      </c>
      <c r="F203" s="8">
        <v>43738</v>
      </c>
      <c r="G203" s="3" t="s">
        <v>56</v>
      </c>
      <c r="H203" s="3" t="s">
        <v>64</v>
      </c>
      <c r="I203" s="10">
        <v>47781.08</v>
      </c>
      <c r="J203" s="3" t="str">
        <f>IFERROR(VLOOKUP(B203, People!A:B, 2, FALSE), "")</f>
        <v>George Bluth</v>
      </c>
    </row>
    <row r="204" spans="1:10" ht="13" x14ac:dyDescent="0.15">
      <c r="A204" s="3" t="s">
        <v>195</v>
      </c>
      <c r="B204" s="3" t="s">
        <v>117</v>
      </c>
      <c r="C204" s="3" t="s">
        <v>43</v>
      </c>
      <c r="D204" s="3" t="s">
        <v>63</v>
      </c>
      <c r="E204" s="3" t="s">
        <v>54</v>
      </c>
      <c r="F204" s="8">
        <v>43706</v>
      </c>
      <c r="G204" s="3" t="s">
        <v>56</v>
      </c>
      <c r="H204" s="3" t="s">
        <v>58</v>
      </c>
      <c r="I204" s="10">
        <v>5538</v>
      </c>
      <c r="J204" s="3" t="str">
        <f>IFERROR(VLOOKUP(B204, People!A:B, 2, FALSE), "")</f>
        <v/>
      </c>
    </row>
    <row r="205" spans="1:10" ht="13" x14ac:dyDescent="0.15">
      <c r="A205" s="3" t="s">
        <v>195</v>
      </c>
      <c r="B205" s="3" t="s">
        <v>117</v>
      </c>
      <c r="C205" s="3" t="s">
        <v>43</v>
      </c>
      <c r="D205" s="3" t="s">
        <v>63</v>
      </c>
      <c r="E205" s="3" t="s">
        <v>54</v>
      </c>
      <c r="F205" s="8">
        <v>43706</v>
      </c>
      <c r="G205" s="3" t="s">
        <v>56</v>
      </c>
      <c r="H205" s="3" t="s">
        <v>58</v>
      </c>
      <c r="I205" s="10">
        <v>11076</v>
      </c>
      <c r="J205" s="3" t="str">
        <f>IFERROR(VLOOKUP(B205, People!A:B, 2, FALSE), "")</f>
        <v/>
      </c>
    </row>
    <row r="206" spans="1:10" ht="13" x14ac:dyDescent="0.15">
      <c r="A206" s="3" t="s">
        <v>195</v>
      </c>
      <c r="B206" s="3" t="s">
        <v>117</v>
      </c>
      <c r="C206" s="3" t="s">
        <v>43</v>
      </c>
      <c r="D206" s="3" t="s">
        <v>63</v>
      </c>
      <c r="E206" s="3" t="s">
        <v>54</v>
      </c>
      <c r="F206" s="8">
        <v>43706</v>
      </c>
      <c r="G206" s="3" t="s">
        <v>56</v>
      </c>
      <c r="H206" s="3" t="s">
        <v>60</v>
      </c>
      <c r="I206" s="10">
        <v>16614</v>
      </c>
      <c r="J206" s="3" t="str">
        <f>IFERROR(VLOOKUP(B206, People!A:B, 2, FALSE), "")</f>
        <v/>
      </c>
    </row>
    <row r="207" spans="1:10" ht="13" x14ac:dyDescent="0.15">
      <c r="A207" s="3" t="s">
        <v>195</v>
      </c>
      <c r="B207" s="3" t="s">
        <v>117</v>
      </c>
      <c r="C207" s="3" t="s">
        <v>43</v>
      </c>
      <c r="D207" s="3" t="s">
        <v>63</v>
      </c>
      <c r="E207" s="3" t="s">
        <v>54</v>
      </c>
      <c r="F207" s="8">
        <v>43706</v>
      </c>
      <c r="G207" s="3" t="s">
        <v>56</v>
      </c>
      <c r="H207" s="3" t="s">
        <v>64</v>
      </c>
      <c r="I207" s="10">
        <v>5538</v>
      </c>
      <c r="J207" s="3" t="str">
        <f>IFERROR(VLOOKUP(B207, People!A:B, 2, FALSE), "")</f>
        <v/>
      </c>
    </row>
    <row r="208" spans="1:10" ht="13" x14ac:dyDescent="0.15">
      <c r="A208" s="3" t="s">
        <v>195</v>
      </c>
      <c r="B208" s="3" t="s">
        <v>117</v>
      </c>
      <c r="C208" s="3" t="s">
        <v>43</v>
      </c>
      <c r="D208" s="3" t="s">
        <v>63</v>
      </c>
      <c r="E208" s="3" t="s">
        <v>54</v>
      </c>
      <c r="F208" s="8">
        <v>43706</v>
      </c>
      <c r="G208" s="3" t="s">
        <v>56</v>
      </c>
      <c r="H208" s="3" t="s">
        <v>64</v>
      </c>
      <c r="I208" s="10">
        <v>5538</v>
      </c>
      <c r="J208" s="3" t="str">
        <f>IFERROR(VLOOKUP(B208, People!A:B, 2, FALSE), "")</f>
        <v/>
      </c>
    </row>
    <row r="209" spans="1:10" ht="13" x14ac:dyDescent="0.15">
      <c r="A209" s="3" t="s">
        <v>196</v>
      </c>
      <c r="B209" s="3" t="s">
        <v>155</v>
      </c>
      <c r="C209" s="3" t="s">
        <v>43</v>
      </c>
      <c r="D209" s="3" t="s">
        <v>51</v>
      </c>
      <c r="E209" s="3" t="s">
        <v>54</v>
      </c>
      <c r="F209" s="8">
        <v>43714</v>
      </c>
      <c r="G209" s="3" t="s">
        <v>56</v>
      </c>
      <c r="H209" s="3" t="s">
        <v>60</v>
      </c>
      <c r="I209" s="10">
        <v>2474.21</v>
      </c>
      <c r="J209" s="3" t="str">
        <f>IFERROR(VLOOKUP(B209, People!A:B, 2, FALSE), "")</f>
        <v/>
      </c>
    </row>
    <row r="210" spans="1:10" ht="13" x14ac:dyDescent="0.15">
      <c r="A210" s="3" t="s">
        <v>196</v>
      </c>
      <c r="B210" s="3" t="s">
        <v>155</v>
      </c>
      <c r="C210" s="3" t="s">
        <v>43</v>
      </c>
      <c r="D210" s="3" t="s">
        <v>51</v>
      </c>
      <c r="E210" s="3" t="s">
        <v>54</v>
      </c>
      <c r="F210" s="8">
        <v>43714</v>
      </c>
      <c r="G210" s="3" t="s">
        <v>56</v>
      </c>
      <c r="H210" s="3" t="s">
        <v>64</v>
      </c>
      <c r="I210" s="3">
        <v>824.74</v>
      </c>
      <c r="J210" s="3" t="str">
        <f>IFERROR(VLOOKUP(B210, People!A:B, 2, FALSE), "")</f>
        <v/>
      </c>
    </row>
    <row r="211" spans="1:10" ht="13" x14ac:dyDescent="0.15">
      <c r="A211" s="3" t="s">
        <v>196</v>
      </c>
      <c r="B211" s="3" t="s">
        <v>155</v>
      </c>
      <c r="C211" s="3" t="s">
        <v>43</v>
      </c>
      <c r="D211" s="3" t="s">
        <v>51</v>
      </c>
      <c r="E211" s="3" t="s">
        <v>54</v>
      </c>
      <c r="F211" s="8">
        <v>43714</v>
      </c>
      <c r="G211" s="3" t="s">
        <v>56</v>
      </c>
      <c r="H211" s="3" t="s">
        <v>64</v>
      </c>
      <c r="I211" s="3">
        <v>824.74</v>
      </c>
      <c r="J211" s="3" t="str">
        <f>IFERROR(VLOOKUP(B211, People!A:B, 2, FALSE), "")</f>
        <v/>
      </c>
    </row>
    <row r="212" spans="1:10" ht="13" x14ac:dyDescent="0.15">
      <c r="A212" s="3" t="s">
        <v>197</v>
      </c>
      <c r="B212" s="3" t="s">
        <v>184</v>
      </c>
      <c r="C212" s="3" t="s">
        <v>43</v>
      </c>
      <c r="D212" s="3" t="s">
        <v>63</v>
      </c>
      <c r="E212" s="3" t="s">
        <v>75</v>
      </c>
      <c r="F212" s="8">
        <v>44006</v>
      </c>
      <c r="G212" s="3" t="s">
        <v>56</v>
      </c>
      <c r="H212" s="3" t="s">
        <v>58</v>
      </c>
      <c r="I212" s="10">
        <v>22247.42</v>
      </c>
      <c r="J212" s="3" t="str">
        <f>IFERROR(VLOOKUP(B212, People!A:B, 2, FALSE), "")</f>
        <v/>
      </c>
    </row>
    <row r="213" spans="1:10" ht="13" x14ac:dyDescent="0.15">
      <c r="A213" s="3" t="s">
        <v>198</v>
      </c>
      <c r="B213" s="3" t="s">
        <v>155</v>
      </c>
      <c r="C213" s="3" t="s">
        <v>43</v>
      </c>
      <c r="D213" s="3" t="s">
        <v>51</v>
      </c>
      <c r="E213" s="3" t="s">
        <v>75</v>
      </c>
      <c r="F213" s="8">
        <v>43941</v>
      </c>
      <c r="G213" s="3" t="s">
        <v>114</v>
      </c>
      <c r="H213" s="3" t="s">
        <v>115</v>
      </c>
      <c r="I213" s="10">
        <v>112844.5</v>
      </c>
      <c r="J213" s="3" t="str">
        <f>IFERROR(VLOOKUP(B213, People!A:B, 2, FALSE), "")</f>
        <v/>
      </c>
    </row>
    <row r="214" spans="1:10" ht="13" x14ac:dyDescent="0.15">
      <c r="A214" s="3" t="s">
        <v>198</v>
      </c>
      <c r="B214" s="3" t="s">
        <v>155</v>
      </c>
      <c r="C214" s="3" t="s">
        <v>43</v>
      </c>
      <c r="D214" s="3" t="s">
        <v>51</v>
      </c>
      <c r="E214" s="3" t="s">
        <v>75</v>
      </c>
      <c r="F214" s="8">
        <v>43941</v>
      </c>
      <c r="G214" s="3" t="s">
        <v>114</v>
      </c>
      <c r="H214" s="3" t="s">
        <v>115</v>
      </c>
      <c r="I214" s="10">
        <v>64564.46</v>
      </c>
      <c r="J214" s="3" t="str">
        <f>IFERROR(VLOOKUP(B214, People!A:B, 2, FALSE), "")</f>
        <v/>
      </c>
    </row>
    <row r="215" spans="1:10" ht="13" x14ac:dyDescent="0.15">
      <c r="A215" s="3" t="s">
        <v>198</v>
      </c>
      <c r="B215" s="3" t="s">
        <v>155</v>
      </c>
      <c r="C215" s="3" t="s">
        <v>43</v>
      </c>
      <c r="D215" s="3" t="s">
        <v>51</v>
      </c>
      <c r="E215" s="3" t="s">
        <v>75</v>
      </c>
      <c r="F215" s="8">
        <v>43941</v>
      </c>
      <c r="G215" s="3" t="s">
        <v>114</v>
      </c>
      <c r="H215" s="3" t="s">
        <v>115</v>
      </c>
      <c r="I215" s="10">
        <v>77756.11</v>
      </c>
      <c r="J215" s="3" t="str">
        <f>IFERROR(VLOOKUP(B215, People!A:B, 2, FALSE), "")</f>
        <v/>
      </c>
    </row>
    <row r="216" spans="1:10" ht="13" x14ac:dyDescent="0.15">
      <c r="A216" s="3" t="s">
        <v>198</v>
      </c>
      <c r="B216" s="3" t="s">
        <v>155</v>
      </c>
      <c r="C216" s="3" t="s">
        <v>43</v>
      </c>
      <c r="D216" s="3" t="s">
        <v>51</v>
      </c>
      <c r="E216" s="3" t="s">
        <v>75</v>
      </c>
      <c r="F216" s="8">
        <v>43941</v>
      </c>
      <c r="G216" s="3" t="s">
        <v>114</v>
      </c>
      <c r="H216" s="3" t="s">
        <v>115</v>
      </c>
      <c r="I216" s="10">
        <v>16338.02</v>
      </c>
      <c r="J216" s="3" t="str">
        <f>IFERROR(VLOOKUP(B216, People!A:B, 2, FALSE), "")</f>
        <v/>
      </c>
    </row>
    <row r="217" spans="1:10" ht="13" x14ac:dyDescent="0.15">
      <c r="A217" s="3" t="s">
        <v>199</v>
      </c>
      <c r="B217" s="3" t="s">
        <v>161</v>
      </c>
      <c r="C217" s="3" t="s">
        <v>43</v>
      </c>
      <c r="D217" s="3" t="s">
        <v>63</v>
      </c>
      <c r="E217" s="3" t="s">
        <v>75</v>
      </c>
      <c r="F217" s="8">
        <v>44006</v>
      </c>
      <c r="G217" s="3" t="s">
        <v>114</v>
      </c>
      <c r="H217" s="3" t="s">
        <v>115</v>
      </c>
      <c r="I217" s="10">
        <v>12456.24</v>
      </c>
      <c r="J217" s="3" t="str">
        <f>IFERROR(VLOOKUP(B217, People!A:B, 2, FALSE), "")</f>
        <v/>
      </c>
    </row>
    <row r="218" spans="1:10" ht="13" x14ac:dyDescent="0.15">
      <c r="A218" s="3" t="s">
        <v>199</v>
      </c>
      <c r="B218" s="3" t="s">
        <v>161</v>
      </c>
      <c r="C218" s="3" t="s">
        <v>43</v>
      </c>
      <c r="D218" s="3" t="s">
        <v>63</v>
      </c>
      <c r="E218" s="3" t="s">
        <v>75</v>
      </c>
      <c r="F218" s="8">
        <v>44006</v>
      </c>
      <c r="G218" s="3" t="s">
        <v>114</v>
      </c>
      <c r="H218" s="3" t="s">
        <v>115</v>
      </c>
      <c r="I218" s="10">
        <v>5946.96</v>
      </c>
      <c r="J218" s="3" t="str">
        <f>IFERROR(VLOOKUP(B218, People!A:B, 2, FALSE), "")</f>
        <v/>
      </c>
    </row>
    <row r="219" spans="1:10" ht="13" x14ac:dyDescent="0.15">
      <c r="A219" s="3" t="s">
        <v>200</v>
      </c>
      <c r="B219" s="3" t="s">
        <v>5</v>
      </c>
      <c r="C219" s="3" t="s">
        <v>40</v>
      </c>
      <c r="D219" s="3" t="s">
        <v>51</v>
      </c>
      <c r="E219" s="3" t="s">
        <v>54</v>
      </c>
      <c r="F219" s="8">
        <v>43984</v>
      </c>
      <c r="G219" s="3" t="s">
        <v>114</v>
      </c>
      <c r="H219" s="3" t="s">
        <v>115</v>
      </c>
      <c r="I219" s="10">
        <v>101030.16</v>
      </c>
      <c r="J219" s="3" t="str">
        <f>IFERROR(VLOOKUP(B219, People!A:B, 2, FALSE), "")</f>
        <v>Alice Chen</v>
      </c>
    </row>
    <row r="220" spans="1:10" ht="13" x14ac:dyDescent="0.15">
      <c r="A220" s="3" t="s">
        <v>200</v>
      </c>
      <c r="B220" s="3" t="s">
        <v>5</v>
      </c>
      <c r="C220" s="3" t="s">
        <v>40</v>
      </c>
      <c r="D220" s="3" t="s">
        <v>51</v>
      </c>
      <c r="E220" s="3" t="s">
        <v>54</v>
      </c>
      <c r="F220" s="8">
        <v>43984</v>
      </c>
      <c r="G220" s="3" t="s">
        <v>114</v>
      </c>
      <c r="H220" s="3" t="s">
        <v>115</v>
      </c>
      <c r="I220" s="10">
        <v>13470.69</v>
      </c>
      <c r="J220" s="3" t="str">
        <f>IFERROR(VLOOKUP(B220, People!A:B, 2, FALSE), "")</f>
        <v>Alice Chen</v>
      </c>
    </row>
    <row r="221" spans="1:10" ht="13" x14ac:dyDescent="0.15">
      <c r="A221" s="3" t="s">
        <v>200</v>
      </c>
      <c r="B221" s="3" t="s">
        <v>5</v>
      </c>
      <c r="C221" s="3" t="s">
        <v>40</v>
      </c>
      <c r="D221" s="3" t="s">
        <v>51</v>
      </c>
      <c r="E221" s="3" t="s">
        <v>54</v>
      </c>
      <c r="F221" s="8">
        <v>43984</v>
      </c>
      <c r="G221" s="3" t="s">
        <v>114</v>
      </c>
      <c r="H221" s="3" t="s">
        <v>115</v>
      </c>
      <c r="I221" s="10">
        <v>13470.69</v>
      </c>
      <c r="J221" s="3" t="str">
        <f>IFERROR(VLOOKUP(B221, People!A:B, 2, FALSE), "")</f>
        <v>Alice Chen</v>
      </c>
    </row>
    <row r="222" spans="1:10" ht="13" x14ac:dyDescent="0.15">
      <c r="A222" s="3" t="s">
        <v>201</v>
      </c>
      <c r="B222" s="3" t="s">
        <v>202</v>
      </c>
      <c r="C222" s="3" t="s">
        <v>41</v>
      </c>
      <c r="D222" s="3" t="s">
        <v>63</v>
      </c>
      <c r="E222" s="3" t="s">
        <v>75</v>
      </c>
      <c r="F222" s="8">
        <v>44074</v>
      </c>
      <c r="G222" s="3" t="s">
        <v>56</v>
      </c>
      <c r="H222" s="3" t="s">
        <v>64</v>
      </c>
      <c r="I222" s="10">
        <v>1226.8800000000001</v>
      </c>
      <c r="J222" s="3" t="str">
        <f>IFERROR(VLOOKUP(B222, People!A:B, 2, FALSE), "")</f>
        <v/>
      </c>
    </row>
    <row r="223" spans="1:10" ht="13" x14ac:dyDescent="0.15">
      <c r="A223" s="3" t="s">
        <v>203</v>
      </c>
      <c r="B223" s="3" t="s">
        <v>186</v>
      </c>
      <c r="C223" s="3" t="s">
        <v>43</v>
      </c>
      <c r="D223" s="3" t="s">
        <v>63</v>
      </c>
      <c r="E223" s="3" t="s">
        <v>75</v>
      </c>
      <c r="F223" s="8">
        <v>43934</v>
      </c>
      <c r="G223" s="3" t="s">
        <v>56</v>
      </c>
      <c r="H223" s="3" t="s">
        <v>58</v>
      </c>
      <c r="I223" s="3">
        <v>613.44000000000005</v>
      </c>
      <c r="J223" s="3" t="str">
        <f>IFERROR(VLOOKUP(B223, People!A:B, 2, FALSE), "")</f>
        <v/>
      </c>
    </row>
    <row r="224" spans="1:10" ht="13" x14ac:dyDescent="0.15">
      <c r="A224" s="3" t="s">
        <v>203</v>
      </c>
      <c r="B224" s="3" t="s">
        <v>186</v>
      </c>
      <c r="C224" s="3" t="s">
        <v>43</v>
      </c>
      <c r="D224" s="3" t="s">
        <v>63</v>
      </c>
      <c r="E224" s="3" t="s">
        <v>75</v>
      </c>
      <c r="F224" s="8">
        <v>43934</v>
      </c>
      <c r="G224" s="3" t="s">
        <v>56</v>
      </c>
      <c r="H224" s="3" t="s">
        <v>60</v>
      </c>
      <c r="I224" s="10">
        <v>3581.81</v>
      </c>
      <c r="J224" s="3" t="str">
        <f>IFERROR(VLOOKUP(B224, People!A:B, 2, FALSE), "")</f>
        <v/>
      </c>
    </row>
    <row r="225" spans="1:10" ht="13" x14ac:dyDescent="0.15">
      <c r="A225" s="3" t="s">
        <v>203</v>
      </c>
      <c r="B225" s="3" t="s">
        <v>186</v>
      </c>
      <c r="C225" s="3" t="s">
        <v>43</v>
      </c>
      <c r="D225" s="3" t="s">
        <v>63</v>
      </c>
      <c r="E225" s="3" t="s">
        <v>75</v>
      </c>
      <c r="F225" s="8">
        <v>43934</v>
      </c>
      <c r="G225" s="3" t="s">
        <v>56</v>
      </c>
      <c r="H225" s="3" t="s">
        <v>64</v>
      </c>
      <c r="I225" s="10">
        <v>1226.8800000000001</v>
      </c>
      <c r="J225" s="3" t="str">
        <f>IFERROR(VLOOKUP(B225, People!A:B, 2, FALSE), "")</f>
        <v/>
      </c>
    </row>
    <row r="226" spans="1:10" ht="13" x14ac:dyDescent="0.15">
      <c r="A226" s="3" t="s">
        <v>203</v>
      </c>
      <c r="B226" s="3" t="s">
        <v>186</v>
      </c>
      <c r="C226" s="3" t="s">
        <v>43</v>
      </c>
      <c r="D226" s="3" t="s">
        <v>63</v>
      </c>
      <c r="E226" s="3" t="s">
        <v>75</v>
      </c>
      <c r="F226" s="8">
        <v>43934</v>
      </c>
      <c r="G226" s="3" t="s">
        <v>56</v>
      </c>
      <c r="H226" s="3" t="s">
        <v>64</v>
      </c>
      <c r="I226" s="3">
        <v>613.44000000000005</v>
      </c>
      <c r="J226" s="3" t="str">
        <f>IFERROR(VLOOKUP(B226, People!A:B, 2, FALSE), "")</f>
        <v/>
      </c>
    </row>
    <row r="227" spans="1:10" ht="13" x14ac:dyDescent="0.15">
      <c r="A227" s="3" t="s">
        <v>204</v>
      </c>
      <c r="B227" s="3" t="s">
        <v>17</v>
      </c>
      <c r="C227" s="3" t="s">
        <v>43</v>
      </c>
      <c r="D227" s="3" t="s">
        <v>63</v>
      </c>
      <c r="E227" s="3" t="s">
        <v>75</v>
      </c>
      <c r="F227" s="8">
        <v>44041</v>
      </c>
      <c r="G227" s="3" t="s">
        <v>56</v>
      </c>
      <c r="H227" s="3" t="s">
        <v>127</v>
      </c>
      <c r="I227" s="10">
        <v>30672</v>
      </c>
      <c r="J227" s="3" t="str">
        <f>IFERROR(VLOOKUP(B227, People!A:B, 2, FALSE), "")</f>
        <v>Edward Nygma</v>
      </c>
    </row>
    <row r="228" spans="1:10" ht="13" x14ac:dyDescent="0.15">
      <c r="A228" s="3" t="s">
        <v>205</v>
      </c>
      <c r="B228" s="3" t="s">
        <v>5</v>
      </c>
      <c r="C228" s="3" t="s">
        <v>40</v>
      </c>
      <c r="D228" s="3" t="s">
        <v>51</v>
      </c>
      <c r="E228" s="3" t="s">
        <v>54</v>
      </c>
      <c r="F228" s="8">
        <v>44012</v>
      </c>
      <c r="G228" s="3" t="s">
        <v>56</v>
      </c>
      <c r="H228" s="3" t="s">
        <v>60</v>
      </c>
      <c r="I228" s="10">
        <v>37113.120000000003</v>
      </c>
      <c r="J228" s="3" t="str">
        <f>IFERROR(VLOOKUP(B228, People!A:B, 2, FALSE), "")</f>
        <v>Alice Chen</v>
      </c>
    </row>
    <row r="229" spans="1:10" ht="13" x14ac:dyDescent="0.15">
      <c r="A229" s="3" t="s">
        <v>205</v>
      </c>
      <c r="B229" s="3" t="s">
        <v>5</v>
      </c>
      <c r="C229" s="3" t="s">
        <v>40</v>
      </c>
      <c r="D229" s="3" t="s">
        <v>51</v>
      </c>
      <c r="E229" s="3" t="s">
        <v>54</v>
      </c>
      <c r="F229" s="8">
        <v>44012</v>
      </c>
      <c r="G229" s="3" t="s">
        <v>56</v>
      </c>
      <c r="H229" s="3" t="s">
        <v>64</v>
      </c>
      <c r="I229" s="10">
        <v>12371.04</v>
      </c>
      <c r="J229" s="3" t="str">
        <f>IFERROR(VLOOKUP(B229, People!A:B, 2, FALSE), "")</f>
        <v>Alice Chen</v>
      </c>
    </row>
    <row r="230" spans="1:10" ht="13" x14ac:dyDescent="0.15">
      <c r="A230" s="3" t="s">
        <v>205</v>
      </c>
      <c r="B230" s="3" t="s">
        <v>5</v>
      </c>
      <c r="C230" s="3" t="s">
        <v>40</v>
      </c>
      <c r="D230" s="3" t="s">
        <v>51</v>
      </c>
      <c r="E230" s="3" t="s">
        <v>54</v>
      </c>
      <c r="F230" s="8">
        <v>44012</v>
      </c>
      <c r="G230" s="3" t="s">
        <v>56</v>
      </c>
      <c r="H230" s="3" t="s">
        <v>64</v>
      </c>
      <c r="I230" s="10">
        <v>12371.04</v>
      </c>
      <c r="J230" s="3" t="str">
        <f>IFERROR(VLOOKUP(B230, People!A:B, 2, FALSE), "")</f>
        <v>Alice Chen</v>
      </c>
    </row>
    <row r="231" spans="1:10" ht="13" x14ac:dyDescent="0.15">
      <c r="A231" s="3" t="s">
        <v>206</v>
      </c>
      <c r="B231" s="3" t="s">
        <v>207</v>
      </c>
      <c r="C231" s="3" t="s">
        <v>43</v>
      </c>
      <c r="D231" s="3" t="s">
        <v>51</v>
      </c>
      <c r="E231" s="3" t="s">
        <v>75</v>
      </c>
      <c r="F231" s="8">
        <v>43959</v>
      </c>
      <c r="G231" s="3" t="s">
        <v>56</v>
      </c>
      <c r="H231" s="3" t="s">
        <v>58</v>
      </c>
      <c r="I231" s="10">
        <v>49364.57</v>
      </c>
      <c r="J231" s="3" t="str">
        <f>IFERROR(VLOOKUP(B231, People!A:B, 2, FALSE), "")</f>
        <v/>
      </c>
    </row>
    <row r="232" spans="1:10" ht="13" x14ac:dyDescent="0.15">
      <c r="A232" s="3" t="s">
        <v>208</v>
      </c>
      <c r="B232" s="3" t="s">
        <v>137</v>
      </c>
      <c r="C232" s="3" t="s">
        <v>41</v>
      </c>
      <c r="D232" s="3" t="s">
        <v>63</v>
      </c>
      <c r="E232" s="3" t="s">
        <v>75</v>
      </c>
      <c r="F232" s="8">
        <v>43951</v>
      </c>
      <c r="G232" s="3" t="s">
        <v>56</v>
      </c>
      <c r="H232" s="3" t="s">
        <v>58</v>
      </c>
      <c r="I232" s="3">
        <v>654.34</v>
      </c>
      <c r="J232" s="3" t="str">
        <f>IFERROR(VLOOKUP(B232, People!A:B, 2, FALSE), "")</f>
        <v/>
      </c>
    </row>
    <row r="233" spans="1:10" ht="13" x14ac:dyDescent="0.15">
      <c r="A233" s="3" t="s">
        <v>208</v>
      </c>
      <c r="B233" s="3" t="s">
        <v>137</v>
      </c>
      <c r="C233" s="3" t="s">
        <v>41</v>
      </c>
      <c r="D233" s="3" t="s">
        <v>63</v>
      </c>
      <c r="E233" s="3" t="s">
        <v>75</v>
      </c>
      <c r="F233" s="8">
        <v>43951</v>
      </c>
      <c r="G233" s="3" t="s">
        <v>56</v>
      </c>
      <c r="H233" s="3" t="s">
        <v>60</v>
      </c>
      <c r="I233" s="3">
        <v>981.5</v>
      </c>
      <c r="J233" s="3" t="str">
        <f>IFERROR(VLOOKUP(B233, People!A:B, 2, FALSE), "")</f>
        <v/>
      </c>
    </row>
    <row r="234" spans="1:10" ht="13" x14ac:dyDescent="0.15">
      <c r="A234" s="3" t="s">
        <v>208</v>
      </c>
      <c r="B234" s="3" t="s">
        <v>137</v>
      </c>
      <c r="C234" s="3" t="s">
        <v>41</v>
      </c>
      <c r="D234" s="3" t="s">
        <v>63</v>
      </c>
      <c r="E234" s="3" t="s">
        <v>75</v>
      </c>
      <c r="F234" s="8">
        <v>43951</v>
      </c>
      <c r="G234" s="3" t="s">
        <v>56</v>
      </c>
      <c r="H234" s="3" t="s">
        <v>64</v>
      </c>
      <c r="I234" s="3">
        <v>327.17</v>
      </c>
      <c r="J234" s="3" t="str">
        <f>IFERROR(VLOOKUP(B234, People!A:B, 2, FALSE), "")</f>
        <v/>
      </c>
    </row>
    <row r="235" spans="1:10" ht="13" x14ac:dyDescent="0.15">
      <c r="A235" s="3" t="s">
        <v>208</v>
      </c>
      <c r="B235" s="3" t="s">
        <v>137</v>
      </c>
      <c r="C235" s="3" t="s">
        <v>41</v>
      </c>
      <c r="D235" s="3" t="s">
        <v>63</v>
      </c>
      <c r="E235" s="3" t="s">
        <v>75</v>
      </c>
      <c r="F235" s="8">
        <v>43951</v>
      </c>
      <c r="G235" s="3" t="s">
        <v>56</v>
      </c>
      <c r="H235" s="3" t="s">
        <v>64</v>
      </c>
      <c r="I235" s="3">
        <v>327.17</v>
      </c>
      <c r="J235" s="3" t="str">
        <f>IFERROR(VLOOKUP(B235, People!A:B, 2, FALSE), "")</f>
        <v/>
      </c>
    </row>
    <row r="236" spans="1:10" ht="13" x14ac:dyDescent="0.15">
      <c r="A236" s="3" t="s">
        <v>209</v>
      </c>
      <c r="B236" s="3" t="s">
        <v>210</v>
      </c>
      <c r="C236" s="3" t="s">
        <v>43</v>
      </c>
      <c r="D236" s="3" t="s">
        <v>63</v>
      </c>
      <c r="E236" s="3" t="s">
        <v>75</v>
      </c>
      <c r="F236" s="8">
        <v>44084</v>
      </c>
      <c r="G236" s="3" t="s">
        <v>56</v>
      </c>
      <c r="H236" s="3" t="s">
        <v>60</v>
      </c>
      <c r="I236" s="10">
        <v>6183.82</v>
      </c>
      <c r="J236" s="3" t="str">
        <f>IFERROR(VLOOKUP(B236, People!A:B, 2, FALSE), "")</f>
        <v/>
      </c>
    </row>
    <row r="237" spans="1:10" ht="13" x14ac:dyDescent="0.15">
      <c r="A237" s="3" t="s">
        <v>211</v>
      </c>
      <c r="B237" s="3" t="s">
        <v>21</v>
      </c>
      <c r="C237" s="3" t="s">
        <v>40</v>
      </c>
      <c r="D237" s="3" t="s">
        <v>63</v>
      </c>
      <c r="E237" s="3" t="s">
        <v>75</v>
      </c>
      <c r="F237" s="8">
        <v>44043</v>
      </c>
      <c r="G237" s="3" t="s">
        <v>56</v>
      </c>
      <c r="H237" s="3" t="s">
        <v>58</v>
      </c>
      <c r="I237" s="10">
        <v>4992.72</v>
      </c>
      <c r="J237" s="3" t="str">
        <f>IFERROR(VLOOKUP(B237, People!A:B, 2, FALSE), "")</f>
        <v>Fiona Gallagher</v>
      </c>
    </row>
    <row r="238" spans="1:10" ht="13" x14ac:dyDescent="0.15">
      <c r="A238" s="3" t="s">
        <v>211</v>
      </c>
      <c r="B238" s="3" t="s">
        <v>21</v>
      </c>
      <c r="C238" s="3" t="s">
        <v>40</v>
      </c>
      <c r="D238" s="3" t="s">
        <v>63</v>
      </c>
      <c r="E238" s="3" t="s">
        <v>75</v>
      </c>
      <c r="F238" s="8">
        <v>44043</v>
      </c>
      <c r="G238" s="3" t="s">
        <v>56</v>
      </c>
      <c r="H238" s="3" t="s">
        <v>60</v>
      </c>
      <c r="I238" s="10">
        <v>3745.39</v>
      </c>
      <c r="J238" s="3" t="str">
        <f>IFERROR(VLOOKUP(B238, People!A:B, 2, FALSE), "")</f>
        <v>Fiona Gallagher</v>
      </c>
    </row>
    <row r="239" spans="1:10" ht="13" x14ac:dyDescent="0.15">
      <c r="A239" s="3" t="s">
        <v>211</v>
      </c>
      <c r="B239" s="3" t="s">
        <v>21</v>
      </c>
      <c r="C239" s="3" t="s">
        <v>40</v>
      </c>
      <c r="D239" s="3" t="s">
        <v>63</v>
      </c>
      <c r="E239" s="3" t="s">
        <v>75</v>
      </c>
      <c r="F239" s="8">
        <v>44043</v>
      </c>
      <c r="G239" s="3" t="s">
        <v>56</v>
      </c>
      <c r="H239" s="3" t="s">
        <v>64</v>
      </c>
      <c r="I239" s="10">
        <v>2496.36</v>
      </c>
      <c r="J239" s="3" t="str">
        <f>IFERROR(VLOOKUP(B239, People!A:B, 2, FALSE), "")</f>
        <v>Fiona Gallagher</v>
      </c>
    </row>
    <row r="240" spans="1:10" ht="13" x14ac:dyDescent="0.15">
      <c r="A240" s="3" t="s">
        <v>211</v>
      </c>
      <c r="B240" s="3" t="s">
        <v>21</v>
      </c>
      <c r="C240" s="3" t="s">
        <v>40</v>
      </c>
      <c r="D240" s="3" t="s">
        <v>63</v>
      </c>
      <c r="E240" s="3" t="s">
        <v>75</v>
      </c>
      <c r="F240" s="8">
        <v>44043</v>
      </c>
      <c r="G240" s="3" t="s">
        <v>56</v>
      </c>
      <c r="H240" s="3" t="s">
        <v>64</v>
      </c>
      <c r="I240" s="10">
        <v>2496.36</v>
      </c>
      <c r="J240" s="3" t="str">
        <f>IFERROR(VLOOKUP(B240, People!A:B, 2, FALSE), "")</f>
        <v>Fiona Gallagher</v>
      </c>
    </row>
    <row r="241" spans="1:10" ht="13" x14ac:dyDescent="0.15">
      <c r="A241" s="3" t="s">
        <v>212</v>
      </c>
      <c r="B241" s="3" t="s">
        <v>31</v>
      </c>
      <c r="C241" s="3" t="s">
        <v>40</v>
      </c>
      <c r="D241" s="3" t="s">
        <v>51</v>
      </c>
      <c r="E241" s="3" t="s">
        <v>75</v>
      </c>
      <c r="F241" s="8">
        <v>43951</v>
      </c>
      <c r="G241" s="3" t="s">
        <v>56</v>
      </c>
      <c r="H241" s="3" t="s">
        <v>58</v>
      </c>
      <c r="I241" s="10">
        <v>15748.33</v>
      </c>
      <c r="J241" s="3" t="str">
        <f>IFERROR(VLOOKUP(B241, People!A:B, 2, FALSE), "")</f>
        <v>Ian Wright</v>
      </c>
    </row>
    <row r="242" spans="1:10" ht="13" x14ac:dyDescent="0.15">
      <c r="A242" s="3" t="s">
        <v>212</v>
      </c>
      <c r="B242" s="3" t="s">
        <v>31</v>
      </c>
      <c r="C242" s="3" t="s">
        <v>40</v>
      </c>
      <c r="D242" s="3" t="s">
        <v>51</v>
      </c>
      <c r="E242" s="3" t="s">
        <v>75</v>
      </c>
      <c r="F242" s="8">
        <v>43951</v>
      </c>
      <c r="G242" s="3" t="s">
        <v>56</v>
      </c>
      <c r="H242" s="3" t="s">
        <v>58</v>
      </c>
      <c r="I242" s="10">
        <v>31492.54</v>
      </c>
      <c r="J242" s="3" t="str">
        <f>IFERROR(VLOOKUP(B242, People!A:B, 2, FALSE), "")</f>
        <v>Ian Wright</v>
      </c>
    </row>
    <row r="243" spans="1:10" ht="13" x14ac:dyDescent="0.15">
      <c r="A243" s="3" t="s">
        <v>212</v>
      </c>
      <c r="B243" s="3" t="s">
        <v>31</v>
      </c>
      <c r="C243" s="3" t="s">
        <v>40</v>
      </c>
      <c r="D243" s="3" t="s">
        <v>51</v>
      </c>
      <c r="E243" s="3" t="s">
        <v>75</v>
      </c>
      <c r="F243" s="8">
        <v>43951</v>
      </c>
      <c r="G243" s="3" t="s">
        <v>56</v>
      </c>
      <c r="H243" s="3" t="s">
        <v>60</v>
      </c>
      <c r="I243" s="10">
        <v>47240.88</v>
      </c>
      <c r="J243" s="3" t="str">
        <f>IFERROR(VLOOKUP(B243, People!A:B, 2, FALSE), "")</f>
        <v>Ian Wright</v>
      </c>
    </row>
    <row r="244" spans="1:10" ht="13" x14ac:dyDescent="0.15">
      <c r="A244" s="3" t="s">
        <v>212</v>
      </c>
      <c r="B244" s="3" t="s">
        <v>31</v>
      </c>
      <c r="C244" s="3" t="s">
        <v>40</v>
      </c>
      <c r="D244" s="3" t="s">
        <v>51</v>
      </c>
      <c r="E244" s="3" t="s">
        <v>75</v>
      </c>
      <c r="F244" s="8">
        <v>43951</v>
      </c>
      <c r="G244" s="3" t="s">
        <v>56</v>
      </c>
      <c r="H244" s="3" t="s">
        <v>64</v>
      </c>
      <c r="I244" s="10">
        <v>15748.33</v>
      </c>
      <c r="J244" s="3" t="str">
        <f>IFERROR(VLOOKUP(B244, People!A:B, 2, FALSE), "")</f>
        <v>Ian Wright</v>
      </c>
    </row>
    <row r="245" spans="1:10" ht="13" x14ac:dyDescent="0.15">
      <c r="A245" s="3" t="s">
        <v>212</v>
      </c>
      <c r="B245" s="3" t="s">
        <v>31</v>
      </c>
      <c r="C245" s="3" t="s">
        <v>40</v>
      </c>
      <c r="D245" s="3" t="s">
        <v>51</v>
      </c>
      <c r="E245" s="3" t="s">
        <v>75</v>
      </c>
      <c r="F245" s="8">
        <v>43951</v>
      </c>
      <c r="G245" s="3" t="s">
        <v>56</v>
      </c>
      <c r="H245" s="3" t="s">
        <v>64</v>
      </c>
      <c r="I245" s="10">
        <v>15748.33</v>
      </c>
      <c r="J245" s="3" t="str">
        <f>IFERROR(VLOOKUP(B245, People!A:B, 2, FALSE), "")</f>
        <v>Ian Wright</v>
      </c>
    </row>
    <row r="246" spans="1:10" ht="13" x14ac:dyDescent="0.15">
      <c r="A246" s="3" t="s">
        <v>213</v>
      </c>
      <c r="B246" s="3" t="s">
        <v>167</v>
      </c>
      <c r="C246" s="3" t="s">
        <v>43</v>
      </c>
      <c r="D246" s="3" t="s">
        <v>63</v>
      </c>
      <c r="E246" s="3" t="s">
        <v>75</v>
      </c>
      <c r="F246" s="8">
        <v>44104</v>
      </c>
      <c r="G246" s="3" t="s">
        <v>56</v>
      </c>
      <c r="H246" s="3" t="s">
        <v>64</v>
      </c>
      <c r="I246" s="10">
        <v>7228.37</v>
      </c>
      <c r="J246" s="3" t="str">
        <f>IFERROR(VLOOKUP(B246, People!A:B, 2, FALSE), "")</f>
        <v/>
      </c>
    </row>
    <row r="247" spans="1:10" ht="13" x14ac:dyDescent="0.15">
      <c r="A247" s="3" t="s">
        <v>213</v>
      </c>
      <c r="B247" s="3" t="s">
        <v>167</v>
      </c>
      <c r="C247" s="3" t="s">
        <v>43</v>
      </c>
      <c r="D247" s="3" t="s">
        <v>63</v>
      </c>
      <c r="E247" s="3" t="s">
        <v>75</v>
      </c>
      <c r="F247" s="8">
        <v>44104</v>
      </c>
      <c r="G247" s="3" t="s">
        <v>56</v>
      </c>
      <c r="H247" s="3" t="s">
        <v>64</v>
      </c>
      <c r="I247" s="10">
        <v>7228.37</v>
      </c>
      <c r="J247" s="3" t="str">
        <f>IFERROR(VLOOKUP(B247, People!A:B, 2, FALSE), "")</f>
        <v/>
      </c>
    </row>
    <row r="248" spans="1:10" ht="13" x14ac:dyDescent="0.15">
      <c r="A248" s="3" t="s">
        <v>214</v>
      </c>
      <c r="B248" s="3" t="s">
        <v>167</v>
      </c>
      <c r="C248" s="3" t="s">
        <v>43</v>
      </c>
      <c r="D248" s="3" t="s">
        <v>63</v>
      </c>
      <c r="E248" s="3" t="s">
        <v>75</v>
      </c>
      <c r="F248" s="8">
        <v>44012</v>
      </c>
      <c r="G248" s="3" t="s">
        <v>56</v>
      </c>
      <c r="H248" s="3" t="s">
        <v>60</v>
      </c>
      <c r="I248" s="10">
        <v>15336</v>
      </c>
      <c r="J248" s="3" t="str">
        <f>IFERROR(VLOOKUP(B248, People!A:B, 2, FALSE), "")</f>
        <v/>
      </c>
    </row>
    <row r="249" spans="1:10" ht="13" x14ac:dyDescent="0.15">
      <c r="A249" s="3" t="s">
        <v>215</v>
      </c>
      <c r="B249" s="3" t="s">
        <v>167</v>
      </c>
      <c r="C249" s="3" t="s">
        <v>43</v>
      </c>
      <c r="D249" s="3" t="s">
        <v>63</v>
      </c>
      <c r="E249" s="3" t="s">
        <v>75</v>
      </c>
      <c r="F249" s="8">
        <v>44155</v>
      </c>
      <c r="G249" s="3" t="s">
        <v>56</v>
      </c>
      <c r="H249" s="3" t="s">
        <v>60</v>
      </c>
      <c r="I249" s="10">
        <v>24537.599999999999</v>
      </c>
      <c r="J249" s="3" t="str">
        <f>IFERROR(VLOOKUP(B249, People!A:B, 2, FALSE), "")</f>
        <v/>
      </c>
    </row>
    <row r="250" spans="1:10" ht="13" x14ac:dyDescent="0.15">
      <c r="A250" s="3" t="s">
        <v>215</v>
      </c>
      <c r="B250" s="3" t="s">
        <v>167</v>
      </c>
      <c r="C250" s="3" t="s">
        <v>43</v>
      </c>
      <c r="D250" s="3" t="s">
        <v>63</v>
      </c>
      <c r="E250" s="3" t="s">
        <v>75</v>
      </c>
      <c r="F250" s="8">
        <v>44155</v>
      </c>
      <c r="G250" s="3" t="s">
        <v>56</v>
      </c>
      <c r="H250" s="3" t="s">
        <v>64</v>
      </c>
      <c r="I250" s="10">
        <v>16358.4</v>
      </c>
      <c r="J250" s="3" t="str">
        <f>IFERROR(VLOOKUP(B250, People!A:B, 2, FALSE), "")</f>
        <v/>
      </c>
    </row>
    <row r="251" spans="1:10" ht="13" x14ac:dyDescent="0.15">
      <c r="A251" s="3" t="s">
        <v>215</v>
      </c>
      <c r="B251" s="3" t="s">
        <v>167</v>
      </c>
      <c r="C251" s="3" t="s">
        <v>43</v>
      </c>
      <c r="D251" s="3" t="s">
        <v>63</v>
      </c>
      <c r="E251" s="3" t="s">
        <v>75</v>
      </c>
      <c r="F251" s="8">
        <v>44155</v>
      </c>
      <c r="G251" s="3" t="s">
        <v>56</v>
      </c>
      <c r="H251" s="3" t="s">
        <v>64</v>
      </c>
      <c r="I251" s="10">
        <v>16358.4</v>
      </c>
      <c r="J251" s="3" t="str">
        <f>IFERROR(VLOOKUP(B251, People!A:B, 2, FALSE), "")</f>
        <v/>
      </c>
    </row>
    <row r="252" spans="1:10" ht="13" x14ac:dyDescent="0.15">
      <c r="A252" s="3" t="s">
        <v>216</v>
      </c>
      <c r="B252" s="3" t="s">
        <v>161</v>
      </c>
      <c r="C252" s="3" t="s">
        <v>43</v>
      </c>
      <c r="D252" s="3" t="s">
        <v>63</v>
      </c>
      <c r="E252" s="3" t="s">
        <v>54</v>
      </c>
      <c r="F252" s="8">
        <v>44008</v>
      </c>
      <c r="G252" s="3" t="s">
        <v>56</v>
      </c>
      <c r="H252" s="3" t="s">
        <v>58</v>
      </c>
      <c r="I252" s="10">
        <v>9678.7199999999993</v>
      </c>
      <c r="J252" s="3" t="str">
        <f>IFERROR(VLOOKUP(B252, People!A:B, 2, FALSE), "")</f>
        <v/>
      </c>
    </row>
    <row r="253" spans="1:10" ht="13" x14ac:dyDescent="0.15">
      <c r="A253" s="3" t="s">
        <v>216</v>
      </c>
      <c r="B253" s="3" t="s">
        <v>161</v>
      </c>
      <c r="C253" s="3" t="s">
        <v>43</v>
      </c>
      <c r="D253" s="3" t="s">
        <v>63</v>
      </c>
      <c r="E253" s="3" t="s">
        <v>54</v>
      </c>
      <c r="F253" s="8">
        <v>44008</v>
      </c>
      <c r="G253" s="3" t="s">
        <v>56</v>
      </c>
      <c r="H253" s="3" t="s">
        <v>58</v>
      </c>
      <c r="I253" s="10">
        <v>29036.16</v>
      </c>
      <c r="J253" s="3" t="str">
        <f>IFERROR(VLOOKUP(B253, People!A:B, 2, FALSE), "")</f>
        <v/>
      </c>
    </row>
    <row r="254" spans="1:10" ht="13" x14ac:dyDescent="0.15">
      <c r="A254" s="3" t="s">
        <v>216</v>
      </c>
      <c r="B254" s="3" t="s">
        <v>161</v>
      </c>
      <c r="C254" s="3" t="s">
        <v>43</v>
      </c>
      <c r="D254" s="3" t="s">
        <v>63</v>
      </c>
      <c r="E254" s="3" t="s">
        <v>54</v>
      </c>
      <c r="F254" s="8">
        <v>44008</v>
      </c>
      <c r="G254" s="3" t="s">
        <v>56</v>
      </c>
      <c r="H254" s="3" t="s">
        <v>64</v>
      </c>
      <c r="I254" s="10">
        <v>9678.7199999999993</v>
      </c>
      <c r="J254" s="3" t="str">
        <f>IFERROR(VLOOKUP(B254, People!A:B, 2, FALSE), "")</f>
        <v/>
      </c>
    </row>
    <row r="255" spans="1:10" ht="13" x14ac:dyDescent="0.15">
      <c r="A255" s="3" t="s">
        <v>216</v>
      </c>
      <c r="B255" s="3" t="s">
        <v>161</v>
      </c>
      <c r="C255" s="3" t="s">
        <v>43</v>
      </c>
      <c r="D255" s="3" t="s">
        <v>63</v>
      </c>
      <c r="E255" s="3" t="s">
        <v>54</v>
      </c>
      <c r="F255" s="8">
        <v>44008</v>
      </c>
      <c r="G255" s="3" t="s">
        <v>56</v>
      </c>
      <c r="H255" s="3" t="s">
        <v>64</v>
      </c>
      <c r="I255" s="10">
        <v>9678.7199999999993</v>
      </c>
      <c r="J255" s="3" t="str">
        <f>IFERROR(VLOOKUP(B255, People!A:B, 2, FALSE), "")</f>
        <v/>
      </c>
    </row>
    <row r="256" spans="1:10" ht="13" x14ac:dyDescent="0.15">
      <c r="A256" s="3" t="s">
        <v>217</v>
      </c>
      <c r="B256" s="3" t="s">
        <v>167</v>
      </c>
      <c r="C256" s="3" t="s">
        <v>43</v>
      </c>
      <c r="D256" s="3" t="s">
        <v>63</v>
      </c>
      <c r="E256" s="3" t="s">
        <v>75</v>
      </c>
      <c r="F256" s="8">
        <v>44040</v>
      </c>
      <c r="G256" s="3" t="s">
        <v>56</v>
      </c>
      <c r="H256" s="3" t="s">
        <v>58</v>
      </c>
      <c r="I256" s="10">
        <v>9406.08</v>
      </c>
      <c r="J256" s="3" t="str">
        <f>IFERROR(VLOOKUP(B256, People!A:B, 2, FALSE), "")</f>
        <v/>
      </c>
    </row>
    <row r="257" spans="1:10" ht="13" x14ac:dyDescent="0.15">
      <c r="A257" s="3" t="s">
        <v>218</v>
      </c>
      <c r="B257" s="3" t="s">
        <v>28</v>
      </c>
      <c r="C257" s="3" t="s">
        <v>41</v>
      </c>
      <c r="D257" s="3" t="s">
        <v>51</v>
      </c>
      <c r="E257" s="3" t="s">
        <v>75</v>
      </c>
      <c r="F257" s="8">
        <v>44005</v>
      </c>
      <c r="G257" s="3" t="s">
        <v>56</v>
      </c>
      <c r="H257" s="3" t="s">
        <v>58</v>
      </c>
      <c r="I257" s="10">
        <v>41566.69</v>
      </c>
      <c r="J257" s="3" t="str">
        <f>IFERROR(VLOOKUP(B257, People!A:B, 2, FALSE), "")</f>
        <v>Hannah Abbott</v>
      </c>
    </row>
    <row r="258" spans="1:10" ht="13" x14ac:dyDescent="0.15">
      <c r="A258" s="3" t="s">
        <v>218</v>
      </c>
      <c r="B258" s="3" t="s">
        <v>28</v>
      </c>
      <c r="C258" s="3" t="s">
        <v>41</v>
      </c>
      <c r="D258" s="3" t="s">
        <v>51</v>
      </c>
      <c r="E258" s="3" t="s">
        <v>75</v>
      </c>
      <c r="F258" s="8">
        <v>44005</v>
      </c>
      <c r="G258" s="3" t="s">
        <v>56</v>
      </c>
      <c r="H258" s="3" t="s">
        <v>60</v>
      </c>
      <c r="I258" s="10">
        <v>31175.02</v>
      </c>
      <c r="J258" s="3" t="str">
        <f>IFERROR(VLOOKUP(B258, People!A:B, 2, FALSE), "")</f>
        <v>Hannah Abbott</v>
      </c>
    </row>
    <row r="259" spans="1:10" ht="13" x14ac:dyDescent="0.15">
      <c r="A259" s="3" t="s">
        <v>218</v>
      </c>
      <c r="B259" s="3" t="s">
        <v>28</v>
      </c>
      <c r="C259" s="3" t="s">
        <v>41</v>
      </c>
      <c r="D259" s="3" t="s">
        <v>51</v>
      </c>
      <c r="E259" s="3" t="s">
        <v>75</v>
      </c>
      <c r="F259" s="8">
        <v>44005</v>
      </c>
      <c r="G259" s="3" t="s">
        <v>56</v>
      </c>
      <c r="H259" s="3" t="s">
        <v>64</v>
      </c>
      <c r="I259" s="10">
        <v>10391.67</v>
      </c>
      <c r="J259" s="3" t="str">
        <f>IFERROR(VLOOKUP(B259, People!A:B, 2, FALSE), "")</f>
        <v>Hannah Abbott</v>
      </c>
    </row>
    <row r="260" spans="1:10" ht="13" x14ac:dyDescent="0.15">
      <c r="A260" s="3" t="s">
        <v>218</v>
      </c>
      <c r="B260" s="3" t="s">
        <v>28</v>
      </c>
      <c r="C260" s="3" t="s">
        <v>41</v>
      </c>
      <c r="D260" s="3" t="s">
        <v>51</v>
      </c>
      <c r="E260" s="3" t="s">
        <v>75</v>
      </c>
      <c r="F260" s="8">
        <v>44005</v>
      </c>
      <c r="G260" s="3" t="s">
        <v>56</v>
      </c>
      <c r="H260" s="3" t="s">
        <v>64</v>
      </c>
      <c r="I260" s="10">
        <v>5195.84</v>
      </c>
      <c r="J260" s="3" t="str">
        <f>IFERROR(VLOOKUP(B260, People!A:B, 2, FALSE), "")</f>
        <v>Hannah Abbott</v>
      </c>
    </row>
    <row r="261" spans="1:10" ht="13" x14ac:dyDescent="0.15">
      <c r="A261" s="3" t="s">
        <v>219</v>
      </c>
      <c r="B261" s="3" t="s">
        <v>220</v>
      </c>
      <c r="C261" s="3" t="s">
        <v>43</v>
      </c>
      <c r="D261" s="3" t="s">
        <v>51</v>
      </c>
      <c r="E261" s="3" t="s">
        <v>75</v>
      </c>
      <c r="F261" s="8">
        <v>44103</v>
      </c>
      <c r="G261" s="3" t="s">
        <v>114</v>
      </c>
      <c r="H261" s="3" t="s">
        <v>115</v>
      </c>
      <c r="I261" s="10">
        <v>46185.22</v>
      </c>
      <c r="J261" s="3" t="str">
        <f>IFERROR(VLOOKUP(B261, People!A:B, 2, FALSE), "")</f>
        <v/>
      </c>
    </row>
    <row r="262" spans="1:10" ht="13" x14ac:dyDescent="0.15">
      <c r="A262" s="3" t="s">
        <v>219</v>
      </c>
      <c r="B262" s="3" t="s">
        <v>220</v>
      </c>
      <c r="C262" s="3" t="s">
        <v>43</v>
      </c>
      <c r="D262" s="3" t="s">
        <v>51</v>
      </c>
      <c r="E262" s="3" t="s">
        <v>75</v>
      </c>
      <c r="F262" s="8">
        <v>44103</v>
      </c>
      <c r="G262" s="3" t="s">
        <v>114</v>
      </c>
      <c r="H262" s="3" t="s">
        <v>115</v>
      </c>
      <c r="I262" s="10">
        <v>189689.28</v>
      </c>
      <c r="J262" s="3" t="str">
        <f>IFERROR(VLOOKUP(B262, People!A:B, 2, FALSE), "")</f>
        <v/>
      </c>
    </row>
    <row r="263" spans="1:10" ht="13" x14ac:dyDescent="0.15">
      <c r="A263" s="3" t="s">
        <v>219</v>
      </c>
      <c r="B263" s="3" t="s">
        <v>220</v>
      </c>
      <c r="C263" s="3" t="s">
        <v>43</v>
      </c>
      <c r="D263" s="3" t="s">
        <v>51</v>
      </c>
      <c r="E263" s="3" t="s">
        <v>75</v>
      </c>
      <c r="F263" s="8">
        <v>44103</v>
      </c>
      <c r="G263" s="3" t="s">
        <v>114</v>
      </c>
      <c r="H263" s="3" t="s">
        <v>115</v>
      </c>
      <c r="I263" s="10">
        <v>134535.06</v>
      </c>
      <c r="J263" s="3" t="str">
        <f>IFERROR(VLOOKUP(B263, People!A:B, 2, FALSE), "")</f>
        <v/>
      </c>
    </row>
    <row r="264" spans="1:10" ht="13" x14ac:dyDescent="0.15">
      <c r="A264" s="3" t="s">
        <v>219</v>
      </c>
      <c r="B264" s="3" t="s">
        <v>220</v>
      </c>
      <c r="C264" s="3" t="s">
        <v>43</v>
      </c>
      <c r="D264" s="3" t="s">
        <v>51</v>
      </c>
      <c r="E264" s="3" t="s">
        <v>75</v>
      </c>
      <c r="F264" s="8">
        <v>44103</v>
      </c>
      <c r="G264" s="3" t="s">
        <v>114</v>
      </c>
      <c r="H264" s="3" t="s">
        <v>115</v>
      </c>
      <c r="I264" s="10">
        <v>86597.28</v>
      </c>
      <c r="J264" s="3" t="str">
        <f>IFERROR(VLOOKUP(B264, People!A:B, 2, FALSE), "")</f>
        <v/>
      </c>
    </row>
    <row r="265" spans="1:10" ht="13" x14ac:dyDescent="0.15">
      <c r="A265" s="3" t="s">
        <v>219</v>
      </c>
      <c r="B265" s="3" t="s">
        <v>220</v>
      </c>
      <c r="C265" s="3" t="s">
        <v>43</v>
      </c>
      <c r="D265" s="3" t="s">
        <v>51</v>
      </c>
      <c r="E265" s="3" t="s">
        <v>75</v>
      </c>
      <c r="F265" s="8">
        <v>44103</v>
      </c>
      <c r="G265" s="3" t="s">
        <v>114</v>
      </c>
      <c r="H265" s="3" t="s">
        <v>115</v>
      </c>
      <c r="I265" s="10">
        <v>13814.33</v>
      </c>
      <c r="J265" s="3" t="str">
        <f>IFERROR(VLOOKUP(B265, People!A:B, 2, FALSE), "")</f>
        <v/>
      </c>
    </row>
    <row r="266" spans="1:10" ht="13" x14ac:dyDescent="0.15">
      <c r="A266" s="3" t="s">
        <v>219</v>
      </c>
      <c r="B266" s="3" t="s">
        <v>220</v>
      </c>
      <c r="C266" s="3" t="s">
        <v>43</v>
      </c>
      <c r="D266" s="3" t="s">
        <v>51</v>
      </c>
      <c r="E266" s="3" t="s">
        <v>75</v>
      </c>
      <c r="F266" s="8">
        <v>44103</v>
      </c>
      <c r="G266" s="3" t="s">
        <v>56</v>
      </c>
      <c r="H266" s="3" t="s">
        <v>221</v>
      </c>
      <c r="I266" s="10">
        <v>9896.83</v>
      </c>
      <c r="J266" s="3" t="str">
        <f>IFERROR(VLOOKUP(B266, People!A:B, 2, FALSE), "")</f>
        <v/>
      </c>
    </row>
    <row r="267" spans="1:10" ht="13" x14ac:dyDescent="0.15">
      <c r="A267" s="3" t="s">
        <v>222</v>
      </c>
      <c r="B267" s="3" t="s">
        <v>223</v>
      </c>
      <c r="C267" s="3" t="s">
        <v>43</v>
      </c>
      <c r="D267" s="3" t="s">
        <v>63</v>
      </c>
      <c r="E267" s="3" t="s">
        <v>75</v>
      </c>
      <c r="F267" s="8">
        <v>43998</v>
      </c>
      <c r="G267" s="3" t="s">
        <v>56</v>
      </c>
      <c r="H267" s="3" t="s">
        <v>58</v>
      </c>
      <c r="I267" s="10">
        <v>16377.14</v>
      </c>
      <c r="J267" s="3" t="str">
        <f>IFERROR(VLOOKUP(B267, People!A:B, 2, FALSE), "")</f>
        <v/>
      </c>
    </row>
    <row r="268" spans="1:10" ht="13" x14ac:dyDescent="0.15">
      <c r="A268" s="3" t="s">
        <v>224</v>
      </c>
      <c r="B268" s="3" t="s">
        <v>225</v>
      </c>
      <c r="C268" s="3" t="s">
        <v>43</v>
      </c>
      <c r="D268" s="3" t="s">
        <v>63</v>
      </c>
      <c r="E268" s="3" t="s">
        <v>54</v>
      </c>
      <c r="F268" s="8">
        <v>43991</v>
      </c>
      <c r="G268" s="3" t="s">
        <v>56</v>
      </c>
      <c r="H268" s="3" t="s">
        <v>60</v>
      </c>
      <c r="I268" s="10">
        <v>15949.44</v>
      </c>
      <c r="J268" s="3" t="str">
        <f>IFERROR(VLOOKUP(B268, People!A:B, 2, FALSE), "")</f>
        <v/>
      </c>
    </row>
    <row r="269" spans="1:10" ht="13" x14ac:dyDescent="0.15">
      <c r="A269" s="3" t="s">
        <v>224</v>
      </c>
      <c r="B269" s="3" t="s">
        <v>225</v>
      </c>
      <c r="C269" s="3" t="s">
        <v>43</v>
      </c>
      <c r="D269" s="3" t="s">
        <v>63</v>
      </c>
      <c r="E269" s="3" t="s">
        <v>54</v>
      </c>
      <c r="F269" s="8">
        <v>43991</v>
      </c>
      <c r="G269" s="3" t="s">
        <v>56</v>
      </c>
      <c r="H269" s="3" t="s">
        <v>64</v>
      </c>
      <c r="I269" s="10">
        <v>5316.48</v>
      </c>
      <c r="J269" s="3" t="str">
        <f>IFERROR(VLOOKUP(B269, People!A:B, 2, FALSE), "")</f>
        <v/>
      </c>
    </row>
    <row r="270" spans="1:10" ht="13" x14ac:dyDescent="0.15">
      <c r="A270" s="3" t="s">
        <v>224</v>
      </c>
      <c r="B270" s="3" t="s">
        <v>225</v>
      </c>
      <c r="C270" s="3" t="s">
        <v>43</v>
      </c>
      <c r="D270" s="3" t="s">
        <v>63</v>
      </c>
      <c r="E270" s="3" t="s">
        <v>54</v>
      </c>
      <c r="F270" s="8">
        <v>43991</v>
      </c>
      <c r="G270" s="3" t="s">
        <v>56</v>
      </c>
      <c r="H270" s="3" t="s">
        <v>64</v>
      </c>
      <c r="I270" s="10">
        <v>5316.48</v>
      </c>
      <c r="J270" s="3" t="str">
        <f>IFERROR(VLOOKUP(B270, People!A:B, 2, FALSE), "")</f>
        <v/>
      </c>
    </row>
    <row r="271" spans="1:10" ht="13" x14ac:dyDescent="0.15">
      <c r="A271" s="3" t="s">
        <v>226</v>
      </c>
      <c r="B271" s="3" t="s">
        <v>227</v>
      </c>
      <c r="C271" s="3" t="s">
        <v>41</v>
      </c>
      <c r="D271" s="3" t="s">
        <v>63</v>
      </c>
      <c r="E271" s="3" t="s">
        <v>54</v>
      </c>
      <c r="F271" s="8">
        <v>44007</v>
      </c>
      <c r="G271" s="3" t="s">
        <v>56</v>
      </c>
      <c r="H271" s="3" t="s">
        <v>64</v>
      </c>
      <c r="I271" s="10">
        <v>1090.56</v>
      </c>
      <c r="J271" s="3" t="str">
        <f>IFERROR(VLOOKUP(B271, People!A:B, 2, FALSE), "")</f>
        <v/>
      </c>
    </row>
    <row r="272" spans="1:10" ht="13" x14ac:dyDescent="0.15">
      <c r="A272" s="3" t="s">
        <v>226</v>
      </c>
      <c r="B272" s="3" t="s">
        <v>227</v>
      </c>
      <c r="C272" s="3" t="s">
        <v>41</v>
      </c>
      <c r="D272" s="3" t="s">
        <v>63</v>
      </c>
      <c r="E272" s="3" t="s">
        <v>54</v>
      </c>
      <c r="F272" s="8">
        <v>44007</v>
      </c>
      <c r="G272" s="3" t="s">
        <v>56</v>
      </c>
      <c r="H272" s="3" t="s">
        <v>64</v>
      </c>
      <c r="I272" s="10">
        <v>1090.56</v>
      </c>
      <c r="J272" s="3" t="str">
        <f>IFERROR(VLOOKUP(B272, People!A:B, 2, FALSE), "")</f>
        <v/>
      </c>
    </row>
    <row r="273" spans="1:10" ht="13" x14ac:dyDescent="0.15">
      <c r="A273" s="3" t="s">
        <v>228</v>
      </c>
      <c r="B273" s="3" t="s">
        <v>192</v>
      </c>
      <c r="C273" s="3" t="s">
        <v>43</v>
      </c>
      <c r="D273" s="3" t="s">
        <v>51</v>
      </c>
      <c r="E273" s="3" t="s">
        <v>54</v>
      </c>
      <c r="F273" s="8">
        <v>44043</v>
      </c>
      <c r="G273" s="3" t="s">
        <v>56</v>
      </c>
      <c r="H273" s="3" t="s">
        <v>58</v>
      </c>
      <c r="I273" s="10">
        <v>22793.64</v>
      </c>
      <c r="J273" s="3" t="str">
        <f>IFERROR(VLOOKUP(B273, People!A:B, 2, FALSE), "")</f>
        <v/>
      </c>
    </row>
    <row r="274" spans="1:10" ht="13" x14ac:dyDescent="0.15">
      <c r="A274" s="3" t="s">
        <v>228</v>
      </c>
      <c r="B274" s="3" t="s">
        <v>192</v>
      </c>
      <c r="C274" s="3" t="s">
        <v>43</v>
      </c>
      <c r="D274" s="3" t="s">
        <v>51</v>
      </c>
      <c r="E274" s="3" t="s">
        <v>54</v>
      </c>
      <c r="F274" s="8">
        <v>44043</v>
      </c>
      <c r="G274" s="3" t="s">
        <v>56</v>
      </c>
      <c r="H274" s="3" t="s">
        <v>64</v>
      </c>
      <c r="I274" s="10">
        <v>45583.85</v>
      </c>
      <c r="J274" s="3" t="str">
        <f>IFERROR(VLOOKUP(B274, People!A:B, 2, FALSE), "")</f>
        <v/>
      </c>
    </row>
    <row r="275" spans="1:10" ht="13" x14ac:dyDescent="0.15">
      <c r="A275" s="3" t="s">
        <v>228</v>
      </c>
      <c r="B275" s="3" t="s">
        <v>192</v>
      </c>
      <c r="C275" s="3" t="s">
        <v>43</v>
      </c>
      <c r="D275" s="3" t="s">
        <v>51</v>
      </c>
      <c r="E275" s="3" t="s">
        <v>54</v>
      </c>
      <c r="F275" s="8">
        <v>44043</v>
      </c>
      <c r="G275" s="3" t="s">
        <v>56</v>
      </c>
      <c r="H275" s="3" t="s">
        <v>64</v>
      </c>
      <c r="I275" s="10">
        <v>40223.06</v>
      </c>
      <c r="J275" s="3" t="str">
        <f>IFERROR(VLOOKUP(B275, People!A:B, 2, FALSE), "")</f>
        <v/>
      </c>
    </row>
    <row r="276" spans="1:10" ht="13" x14ac:dyDescent="0.15">
      <c r="A276" s="3" t="s">
        <v>229</v>
      </c>
      <c r="B276" s="3" t="s">
        <v>230</v>
      </c>
      <c r="C276" s="3" t="s">
        <v>43</v>
      </c>
      <c r="D276" s="3" t="s">
        <v>63</v>
      </c>
      <c r="E276" s="3" t="s">
        <v>75</v>
      </c>
      <c r="F276" s="8">
        <v>44015</v>
      </c>
      <c r="G276" s="3" t="s">
        <v>56</v>
      </c>
      <c r="H276" s="3" t="s">
        <v>60</v>
      </c>
      <c r="I276" s="10">
        <v>7606.66</v>
      </c>
      <c r="J276" s="3" t="str">
        <f>IFERROR(VLOOKUP(B276, People!A:B, 2, FALSE), "")</f>
        <v/>
      </c>
    </row>
    <row r="277" spans="1:10" ht="13" x14ac:dyDescent="0.15">
      <c r="A277" s="3" t="s">
        <v>229</v>
      </c>
      <c r="B277" s="3" t="s">
        <v>230</v>
      </c>
      <c r="C277" s="3" t="s">
        <v>43</v>
      </c>
      <c r="D277" s="3" t="s">
        <v>63</v>
      </c>
      <c r="E277" s="3" t="s">
        <v>75</v>
      </c>
      <c r="F277" s="8">
        <v>44015</v>
      </c>
      <c r="G277" s="3" t="s">
        <v>56</v>
      </c>
      <c r="H277" s="3" t="s">
        <v>64</v>
      </c>
      <c r="I277" s="10">
        <v>2535.5500000000002</v>
      </c>
      <c r="J277" s="3" t="str">
        <f>IFERROR(VLOOKUP(B277, People!A:B, 2, FALSE), "")</f>
        <v/>
      </c>
    </row>
    <row r="278" spans="1:10" ht="13" x14ac:dyDescent="0.15">
      <c r="A278" s="3" t="s">
        <v>229</v>
      </c>
      <c r="B278" s="3" t="s">
        <v>230</v>
      </c>
      <c r="C278" s="3" t="s">
        <v>43</v>
      </c>
      <c r="D278" s="3" t="s">
        <v>63</v>
      </c>
      <c r="E278" s="3" t="s">
        <v>75</v>
      </c>
      <c r="F278" s="8">
        <v>44015</v>
      </c>
      <c r="G278" s="3" t="s">
        <v>56</v>
      </c>
      <c r="H278" s="3" t="s">
        <v>64</v>
      </c>
      <c r="I278" s="10">
        <v>1267.78</v>
      </c>
      <c r="J278" s="3" t="str">
        <f>IFERROR(VLOOKUP(B278, People!A:B, 2, FALSE), "")</f>
        <v/>
      </c>
    </row>
    <row r="279" spans="1:10" ht="13" x14ac:dyDescent="0.15">
      <c r="A279" s="3" t="s">
        <v>231</v>
      </c>
      <c r="B279" s="3" t="s">
        <v>25</v>
      </c>
      <c r="C279" s="3" t="s">
        <v>40</v>
      </c>
      <c r="D279" s="3" t="s">
        <v>51</v>
      </c>
      <c r="E279" s="3" t="s">
        <v>75</v>
      </c>
      <c r="F279" s="8">
        <v>44028</v>
      </c>
      <c r="G279" s="3" t="s">
        <v>56</v>
      </c>
      <c r="H279" s="3" t="s">
        <v>58</v>
      </c>
      <c r="I279" s="10">
        <v>6329.85</v>
      </c>
      <c r="J279" s="3" t="str">
        <f>IFERROR(VLOOKUP(B279, People!A:B, 2, FALSE), "")</f>
        <v>George Bluth</v>
      </c>
    </row>
    <row r="280" spans="1:10" ht="13" x14ac:dyDescent="0.15">
      <c r="A280" s="3" t="s">
        <v>231</v>
      </c>
      <c r="B280" s="3" t="s">
        <v>25</v>
      </c>
      <c r="C280" s="3" t="s">
        <v>40</v>
      </c>
      <c r="D280" s="3" t="s">
        <v>51</v>
      </c>
      <c r="E280" s="3" t="s">
        <v>75</v>
      </c>
      <c r="F280" s="8">
        <v>44028</v>
      </c>
      <c r="G280" s="3" t="s">
        <v>56</v>
      </c>
      <c r="H280" s="3" t="s">
        <v>60</v>
      </c>
      <c r="I280" s="10">
        <v>2766.99</v>
      </c>
      <c r="J280" s="3" t="str">
        <f>IFERROR(VLOOKUP(B280, People!A:B, 2, FALSE), "")</f>
        <v>George Bluth</v>
      </c>
    </row>
    <row r="281" spans="1:10" ht="13" x14ac:dyDescent="0.15">
      <c r="A281" s="3" t="s">
        <v>231</v>
      </c>
      <c r="B281" s="3" t="s">
        <v>25</v>
      </c>
      <c r="C281" s="3" t="s">
        <v>40</v>
      </c>
      <c r="D281" s="3" t="s">
        <v>51</v>
      </c>
      <c r="E281" s="3" t="s">
        <v>75</v>
      </c>
      <c r="F281" s="8">
        <v>44028</v>
      </c>
      <c r="G281" s="3" t="s">
        <v>56</v>
      </c>
      <c r="H281" s="3" t="s">
        <v>64</v>
      </c>
      <c r="I281" s="10">
        <v>1847.41</v>
      </c>
      <c r="J281" s="3" t="str">
        <f>IFERROR(VLOOKUP(B281, People!A:B, 2, FALSE), "")</f>
        <v>George Bluth</v>
      </c>
    </row>
    <row r="282" spans="1:10" ht="13" x14ac:dyDescent="0.15">
      <c r="A282" s="3" t="s">
        <v>231</v>
      </c>
      <c r="B282" s="3" t="s">
        <v>25</v>
      </c>
      <c r="C282" s="3" t="s">
        <v>40</v>
      </c>
      <c r="D282" s="3" t="s">
        <v>51</v>
      </c>
      <c r="E282" s="3" t="s">
        <v>75</v>
      </c>
      <c r="F282" s="8">
        <v>44028</v>
      </c>
      <c r="G282" s="3" t="s">
        <v>56</v>
      </c>
      <c r="H282" s="3" t="s">
        <v>64</v>
      </c>
      <c r="I282" s="3">
        <v>791.75</v>
      </c>
      <c r="J282" s="3" t="str">
        <f>IFERROR(VLOOKUP(B282, People!A:B, 2, FALSE), "")</f>
        <v>George Bluth</v>
      </c>
    </row>
    <row r="283" spans="1:10" ht="13" x14ac:dyDescent="0.15">
      <c r="A283" s="3" t="s">
        <v>232</v>
      </c>
      <c r="B283" s="3" t="s">
        <v>178</v>
      </c>
      <c r="C283" s="3" t="s">
        <v>43</v>
      </c>
      <c r="D283" s="3" t="s">
        <v>63</v>
      </c>
      <c r="E283" s="3" t="s">
        <v>75</v>
      </c>
      <c r="F283" s="8">
        <v>44043</v>
      </c>
      <c r="G283" s="3" t="s">
        <v>56</v>
      </c>
      <c r="H283" s="3" t="s">
        <v>60</v>
      </c>
      <c r="I283" s="10">
        <v>8342.7800000000007</v>
      </c>
      <c r="J283" s="3" t="str">
        <f>IFERROR(VLOOKUP(B283, People!A:B, 2, FALSE), "")</f>
        <v/>
      </c>
    </row>
    <row r="284" spans="1:10" ht="13" x14ac:dyDescent="0.15">
      <c r="A284" s="3" t="s">
        <v>232</v>
      </c>
      <c r="B284" s="3" t="s">
        <v>178</v>
      </c>
      <c r="C284" s="3" t="s">
        <v>43</v>
      </c>
      <c r="D284" s="3" t="s">
        <v>63</v>
      </c>
      <c r="E284" s="3" t="s">
        <v>75</v>
      </c>
      <c r="F284" s="8">
        <v>44043</v>
      </c>
      <c r="G284" s="3" t="s">
        <v>56</v>
      </c>
      <c r="H284" s="3" t="s">
        <v>64</v>
      </c>
      <c r="I284" s="10">
        <v>2780.93</v>
      </c>
      <c r="J284" s="3" t="str">
        <f>IFERROR(VLOOKUP(B284, People!A:B, 2, FALSE), "")</f>
        <v/>
      </c>
    </row>
    <row r="285" spans="1:10" ht="13" x14ac:dyDescent="0.15">
      <c r="A285" s="3" t="s">
        <v>232</v>
      </c>
      <c r="B285" s="3" t="s">
        <v>178</v>
      </c>
      <c r="C285" s="3" t="s">
        <v>43</v>
      </c>
      <c r="D285" s="3" t="s">
        <v>63</v>
      </c>
      <c r="E285" s="3" t="s">
        <v>75</v>
      </c>
      <c r="F285" s="8">
        <v>44043</v>
      </c>
      <c r="G285" s="3" t="s">
        <v>56</v>
      </c>
      <c r="H285" s="3" t="s">
        <v>64</v>
      </c>
      <c r="I285" s="10">
        <v>2780.93</v>
      </c>
      <c r="J285" s="3" t="str">
        <f>IFERROR(VLOOKUP(B285, People!A:B, 2, FALSE), "")</f>
        <v/>
      </c>
    </row>
    <row r="286" spans="1:10" ht="13" x14ac:dyDescent="0.15">
      <c r="A286" s="3" t="s">
        <v>233</v>
      </c>
      <c r="B286" s="3" t="s">
        <v>123</v>
      </c>
      <c r="C286" s="3" t="s">
        <v>40</v>
      </c>
      <c r="D286" s="3" t="s">
        <v>51</v>
      </c>
      <c r="E286" s="3" t="s">
        <v>75</v>
      </c>
      <c r="F286" s="8">
        <v>44033</v>
      </c>
      <c r="G286" s="3" t="s">
        <v>56</v>
      </c>
      <c r="H286" s="3" t="s">
        <v>58</v>
      </c>
      <c r="I286" s="10">
        <v>6680.36</v>
      </c>
      <c r="J286" s="3" t="str">
        <f>IFERROR(VLOOKUP(B286, People!A:B, 2, FALSE), "")</f>
        <v/>
      </c>
    </row>
    <row r="287" spans="1:10" ht="13" x14ac:dyDescent="0.15">
      <c r="A287" s="3" t="s">
        <v>233</v>
      </c>
      <c r="B287" s="3" t="s">
        <v>123</v>
      </c>
      <c r="C287" s="3" t="s">
        <v>40</v>
      </c>
      <c r="D287" s="3" t="s">
        <v>51</v>
      </c>
      <c r="E287" s="3" t="s">
        <v>75</v>
      </c>
      <c r="F287" s="8">
        <v>44033</v>
      </c>
      <c r="G287" s="3" t="s">
        <v>56</v>
      </c>
      <c r="H287" s="3" t="s">
        <v>60</v>
      </c>
      <c r="I287" s="10">
        <v>4008.22</v>
      </c>
      <c r="J287" s="3" t="str">
        <f>IFERROR(VLOOKUP(B287, People!A:B, 2, FALSE), "")</f>
        <v/>
      </c>
    </row>
    <row r="288" spans="1:10" ht="13" x14ac:dyDescent="0.15">
      <c r="A288" s="3" t="s">
        <v>233</v>
      </c>
      <c r="B288" s="3" t="s">
        <v>123</v>
      </c>
      <c r="C288" s="3" t="s">
        <v>40</v>
      </c>
      <c r="D288" s="3" t="s">
        <v>51</v>
      </c>
      <c r="E288" s="3" t="s">
        <v>75</v>
      </c>
      <c r="F288" s="8">
        <v>44033</v>
      </c>
      <c r="G288" s="3" t="s">
        <v>56</v>
      </c>
      <c r="H288" s="3" t="s">
        <v>64</v>
      </c>
      <c r="I288" s="10">
        <v>2672.14</v>
      </c>
      <c r="J288" s="3" t="str">
        <f>IFERROR(VLOOKUP(B288, People!A:B, 2, FALSE), "")</f>
        <v/>
      </c>
    </row>
    <row r="289" spans="1:10" ht="13" x14ac:dyDescent="0.15">
      <c r="A289" s="3" t="s">
        <v>233</v>
      </c>
      <c r="B289" s="3" t="s">
        <v>123</v>
      </c>
      <c r="C289" s="3" t="s">
        <v>40</v>
      </c>
      <c r="D289" s="3" t="s">
        <v>51</v>
      </c>
      <c r="E289" s="3" t="s">
        <v>75</v>
      </c>
      <c r="F289" s="8">
        <v>44033</v>
      </c>
      <c r="G289" s="3" t="s">
        <v>56</v>
      </c>
      <c r="H289" s="3" t="s">
        <v>64</v>
      </c>
      <c r="I289" s="10">
        <v>1336.07</v>
      </c>
      <c r="J289" s="3" t="str">
        <f>IFERROR(VLOOKUP(B289, People!A:B, 2, FALSE), "")</f>
        <v/>
      </c>
    </row>
    <row r="290" spans="1:10" ht="13" x14ac:dyDescent="0.15">
      <c r="A290" s="3" t="s">
        <v>234</v>
      </c>
      <c r="B290" s="3" t="s">
        <v>155</v>
      </c>
      <c r="C290" s="3" t="s">
        <v>43</v>
      </c>
      <c r="D290" s="3" t="s">
        <v>51</v>
      </c>
      <c r="E290" s="3" t="s">
        <v>75</v>
      </c>
      <c r="F290" s="8">
        <v>44033</v>
      </c>
      <c r="G290" s="3" t="s">
        <v>56</v>
      </c>
      <c r="H290" s="3" t="s">
        <v>60</v>
      </c>
      <c r="I290" s="10">
        <v>41805.870000000003</v>
      </c>
      <c r="J290" s="3" t="str">
        <f>IFERROR(VLOOKUP(B290, People!A:B, 2, FALSE), "")</f>
        <v/>
      </c>
    </row>
    <row r="291" spans="1:10" ht="13" x14ac:dyDescent="0.15">
      <c r="A291" s="3" t="s">
        <v>234</v>
      </c>
      <c r="B291" s="3" t="s">
        <v>155</v>
      </c>
      <c r="C291" s="3" t="s">
        <v>43</v>
      </c>
      <c r="D291" s="3" t="s">
        <v>51</v>
      </c>
      <c r="E291" s="3" t="s">
        <v>75</v>
      </c>
      <c r="F291" s="8">
        <v>44033</v>
      </c>
      <c r="G291" s="3" t="s">
        <v>56</v>
      </c>
      <c r="H291" s="3" t="s">
        <v>64</v>
      </c>
      <c r="I291" s="10">
        <v>13933.91</v>
      </c>
      <c r="J291" s="3" t="str">
        <f>IFERROR(VLOOKUP(B291, People!A:B, 2, FALSE), "")</f>
        <v/>
      </c>
    </row>
    <row r="292" spans="1:10" ht="13" x14ac:dyDescent="0.15">
      <c r="A292" s="3" t="s">
        <v>234</v>
      </c>
      <c r="B292" s="3" t="s">
        <v>155</v>
      </c>
      <c r="C292" s="3" t="s">
        <v>43</v>
      </c>
      <c r="D292" s="3" t="s">
        <v>51</v>
      </c>
      <c r="E292" s="3" t="s">
        <v>75</v>
      </c>
      <c r="F292" s="8">
        <v>44033</v>
      </c>
      <c r="G292" s="3" t="s">
        <v>56</v>
      </c>
      <c r="H292" s="3" t="s">
        <v>64</v>
      </c>
      <c r="I292" s="10">
        <v>13933.91</v>
      </c>
      <c r="J292" s="3" t="str">
        <f>IFERROR(VLOOKUP(B292, People!A:B, 2, FALSE), "")</f>
        <v/>
      </c>
    </row>
    <row r="293" spans="1:10" ht="13" x14ac:dyDescent="0.15">
      <c r="A293" s="3" t="s">
        <v>235</v>
      </c>
      <c r="B293" s="3" t="s">
        <v>117</v>
      </c>
      <c r="C293" s="3" t="s">
        <v>43</v>
      </c>
      <c r="D293" s="3" t="s">
        <v>63</v>
      </c>
      <c r="E293" s="3" t="s">
        <v>54</v>
      </c>
      <c r="F293" s="8">
        <v>44035</v>
      </c>
      <c r="G293" s="3" t="s">
        <v>56</v>
      </c>
      <c r="H293" s="3" t="s">
        <v>64</v>
      </c>
      <c r="I293" s="10">
        <v>3834</v>
      </c>
      <c r="J293" s="3" t="str">
        <f>IFERROR(VLOOKUP(B293, People!A:B, 2, FALSE), "")</f>
        <v/>
      </c>
    </row>
    <row r="294" spans="1:10" ht="13" x14ac:dyDescent="0.15">
      <c r="A294" s="3" t="s">
        <v>236</v>
      </c>
      <c r="B294" s="3" t="s">
        <v>137</v>
      </c>
      <c r="C294" s="3" t="s">
        <v>41</v>
      </c>
      <c r="D294" s="3" t="s">
        <v>63</v>
      </c>
      <c r="E294" s="3" t="s">
        <v>75</v>
      </c>
      <c r="F294" s="8">
        <v>44062</v>
      </c>
      <c r="G294" s="3" t="s">
        <v>56</v>
      </c>
      <c r="H294" s="3" t="s">
        <v>58</v>
      </c>
      <c r="I294" s="10">
        <v>10162.66</v>
      </c>
      <c r="J294" s="3" t="str">
        <f>IFERROR(VLOOKUP(B294, People!A:B, 2, FALSE), "")</f>
        <v/>
      </c>
    </row>
    <row r="295" spans="1:10" ht="13" x14ac:dyDescent="0.15">
      <c r="A295" s="3" t="s">
        <v>236</v>
      </c>
      <c r="B295" s="3" t="s">
        <v>137</v>
      </c>
      <c r="C295" s="3" t="s">
        <v>41</v>
      </c>
      <c r="D295" s="3" t="s">
        <v>63</v>
      </c>
      <c r="E295" s="3" t="s">
        <v>75</v>
      </c>
      <c r="F295" s="8">
        <v>44062</v>
      </c>
      <c r="G295" s="3" t="s">
        <v>56</v>
      </c>
      <c r="H295" s="3" t="s">
        <v>58</v>
      </c>
      <c r="I295" s="10">
        <v>8710.85</v>
      </c>
      <c r="J295" s="3" t="str">
        <f>IFERROR(VLOOKUP(B295, People!A:B, 2, FALSE), "")</f>
        <v/>
      </c>
    </row>
    <row r="296" spans="1:10" ht="13" x14ac:dyDescent="0.15">
      <c r="A296" s="3" t="s">
        <v>237</v>
      </c>
      <c r="B296" s="3" t="s">
        <v>238</v>
      </c>
      <c r="C296" s="3" t="s">
        <v>43</v>
      </c>
      <c r="D296" s="3" t="s">
        <v>63</v>
      </c>
      <c r="E296" s="3" t="s">
        <v>75</v>
      </c>
      <c r="F296" s="8">
        <v>44083</v>
      </c>
      <c r="G296" s="3" t="s">
        <v>56</v>
      </c>
      <c r="H296" s="3" t="s">
        <v>60</v>
      </c>
      <c r="I296" s="10">
        <v>7270.97</v>
      </c>
      <c r="J296" s="3" t="str">
        <f>IFERROR(VLOOKUP(B296, People!A:B, 2, FALSE), "")</f>
        <v/>
      </c>
    </row>
    <row r="297" spans="1:10" ht="13" x14ac:dyDescent="0.15">
      <c r="A297" s="3" t="s">
        <v>239</v>
      </c>
      <c r="B297" s="3" t="s">
        <v>240</v>
      </c>
      <c r="C297" s="3" t="s">
        <v>43</v>
      </c>
      <c r="D297" s="3" t="s">
        <v>51</v>
      </c>
      <c r="E297" s="3" t="s">
        <v>75</v>
      </c>
      <c r="F297" s="8">
        <v>44097</v>
      </c>
      <c r="G297" s="3" t="s">
        <v>56</v>
      </c>
      <c r="H297" s="3" t="s">
        <v>58</v>
      </c>
      <c r="I297" s="10">
        <v>50053.23</v>
      </c>
      <c r="J297" s="3" t="str">
        <f>IFERROR(VLOOKUP(B297, People!A:B, 2, FALSE), "")</f>
        <v/>
      </c>
    </row>
    <row r="298" spans="1:10" ht="13" x14ac:dyDescent="0.15">
      <c r="A298" s="3" t="s">
        <v>239</v>
      </c>
      <c r="B298" s="3" t="s">
        <v>240</v>
      </c>
      <c r="C298" s="3" t="s">
        <v>43</v>
      </c>
      <c r="D298" s="3" t="s">
        <v>51</v>
      </c>
      <c r="E298" s="3" t="s">
        <v>75</v>
      </c>
      <c r="F298" s="8">
        <v>44097</v>
      </c>
      <c r="G298" s="3" t="s">
        <v>56</v>
      </c>
      <c r="H298" s="3" t="s">
        <v>60</v>
      </c>
      <c r="I298" s="10">
        <v>37541.980000000003</v>
      </c>
      <c r="J298" s="3" t="str">
        <f>IFERROR(VLOOKUP(B298, People!A:B, 2, FALSE), "")</f>
        <v/>
      </c>
    </row>
    <row r="299" spans="1:10" ht="13" x14ac:dyDescent="0.15">
      <c r="A299" s="3" t="s">
        <v>239</v>
      </c>
      <c r="B299" s="3" t="s">
        <v>240</v>
      </c>
      <c r="C299" s="3" t="s">
        <v>43</v>
      </c>
      <c r="D299" s="3" t="s">
        <v>51</v>
      </c>
      <c r="E299" s="3" t="s">
        <v>75</v>
      </c>
      <c r="F299" s="8">
        <v>44097</v>
      </c>
      <c r="G299" s="3" t="s">
        <v>56</v>
      </c>
      <c r="H299" s="3" t="s">
        <v>64</v>
      </c>
      <c r="I299" s="10">
        <v>12515.37</v>
      </c>
      <c r="J299" s="3" t="str">
        <f>IFERROR(VLOOKUP(B299, People!A:B, 2, FALSE), "")</f>
        <v/>
      </c>
    </row>
    <row r="300" spans="1:10" ht="13" x14ac:dyDescent="0.15">
      <c r="A300" s="3" t="s">
        <v>239</v>
      </c>
      <c r="B300" s="3" t="s">
        <v>240</v>
      </c>
      <c r="C300" s="3" t="s">
        <v>43</v>
      </c>
      <c r="D300" s="3" t="s">
        <v>51</v>
      </c>
      <c r="E300" s="3" t="s">
        <v>75</v>
      </c>
      <c r="F300" s="8">
        <v>44097</v>
      </c>
      <c r="G300" s="3" t="s">
        <v>56</v>
      </c>
      <c r="H300" s="3" t="s">
        <v>64</v>
      </c>
      <c r="I300" s="10">
        <v>6255.62</v>
      </c>
      <c r="J300" s="3" t="str">
        <f>IFERROR(VLOOKUP(B300, People!A:B, 2, FALSE), "")</f>
        <v/>
      </c>
    </row>
    <row r="301" spans="1:10" ht="13" x14ac:dyDescent="0.15">
      <c r="A301" s="3" t="s">
        <v>88</v>
      </c>
      <c r="B301" s="3" t="s">
        <v>5</v>
      </c>
      <c r="C301" s="3" t="s">
        <v>40</v>
      </c>
      <c r="D301" s="3" t="s">
        <v>51</v>
      </c>
      <c r="E301" s="3" t="s">
        <v>75</v>
      </c>
      <c r="F301" s="8">
        <v>44077</v>
      </c>
      <c r="G301" s="3" t="s">
        <v>56</v>
      </c>
      <c r="H301" s="3" t="s">
        <v>58</v>
      </c>
      <c r="I301" s="10">
        <v>3562.86</v>
      </c>
      <c r="J301" s="3" t="str">
        <f>IFERROR(VLOOKUP(B301, People!A:B, 2, FALSE), "")</f>
        <v>Alice Chen</v>
      </c>
    </row>
    <row r="302" spans="1:10" ht="13" x14ac:dyDescent="0.15">
      <c r="A302" s="3" t="s">
        <v>88</v>
      </c>
      <c r="B302" s="3" t="s">
        <v>5</v>
      </c>
      <c r="C302" s="3" t="s">
        <v>40</v>
      </c>
      <c r="D302" s="3" t="s">
        <v>51</v>
      </c>
      <c r="E302" s="3" t="s">
        <v>75</v>
      </c>
      <c r="F302" s="8">
        <v>44077</v>
      </c>
      <c r="G302" s="3" t="s">
        <v>56</v>
      </c>
      <c r="H302" s="3" t="s">
        <v>60</v>
      </c>
      <c r="I302" s="10">
        <v>3562.86</v>
      </c>
      <c r="J302" s="3" t="str">
        <f>IFERROR(VLOOKUP(B302, People!A:B, 2, FALSE), "")</f>
        <v>Alice Chen</v>
      </c>
    </row>
    <row r="303" spans="1:10" ht="13" x14ac:dyDescent="0.15">
      <c r="A303" s="3" t="s">
        <v>88</v>
      </c>
      <c r="B303" s="3" t="s">
        <v>5</v>
      </c>
      <c r="C303" s="3" t="s">
        <v>40</v>
      </c>
      <c r="D303" s="3" t="s">
        <v>51</v>
      </c>
      <c r="E303" s="3" t="s">
        <v>75</v>
      </c>
      <c r="F303" s="8">
        <v>44077</v>
      </c>
      <c r="G303" s="3" t="s">
        <v>56</v>
      </c>
      <c r="H303" s="3" t="s">
        <v>64</v>
      </c>
      <c r="I303" s="10">
        <v>1187.6199999999999</v>
      </c>
      <c r="J303" s="3" t="str">
        <f>IFERROR(VLOOKUP(B303, People!A:B, 2, FALSE), "")</f>
        <v>Alice Chen</v>
      </c>
    </row>
    <row r="304" spans="1:10" ht="13" x14ac:dyDescent="0.15">
      <c r="A304" s="3" t="s">
        <v>88</v>
      </c>
      <c r="B304" s="3" t="s">
        <v>5</v>
      </c>
      <c r="C304" s="3" t="s">
        <v>40</v>
      </c>
      <c r="D304" s="3" t="s">
        <v>51</v>
      </c>
      <c r="E304" s="3" t="s">
        <v>75</v>
      </c>
      <c r="F304" s="8">
        <v>44077</v>
      </c>
      <c r="G304" s="3" t="s">
        <v>56</v>
      </c>
      <c r="H304" s="3" t="s">
        <v>64</v>
      </c>
      <c r="I304" s="3">
        <v>593.80999999999995</v>
      </c>
      <c r="J304" s="3" t="str">
        <f>IFERROR(VLOOKUP(B304, People!A:B, 2, FALSE), "")</f>
        <v>Alice Chen</v>
      </c>
    </row>
    <row r="305" spans="1:10" ht="13" x14ac:dyDescent="0.15">
      <c r="A305" s="3" t="s">
        <v>241</v>
      </c>
      <c r="B305" s="3" t="s">
        <v>144</v>
      </c>
      <c r="C305" s="3" t="s">
        <v>43</v>
      </c>
      <c r="D305" s="3" t="s">
        <v>63</v>
      </c>
      <c r="E305" s="3" t="s">
        <v>54</v>
      </c>
      <c r="F305" s="8">
        <v>44071</v>
      </c>
      <c r="G305" s="3" t="s">
        <v>56</v>
      </c>
      <c r="H305" s="3" t="s">
        <v>60</v>
      </c>
      <c r="I305" s="10">
        <v>18721.28</v>
      </c>
      <c r="J305" s="3" t="str">
        <f>IFERROR(VLOOKUP(B305, People!A:B, 2, FALSE), "")</f>
        <v/>
      </c>
    </row>
    <row r="306" spans="1:10" ht="13" x14ac:dyDescent="0.15">
      <c r="A306" s="3" t="s">
        <v>241</v>
      </c>
      <c r="B306" s="3" t="s">
        <v>144</v>
      </c>
      <c r="C306" s="3" t="s">
        <v>43</v>
      </c>
      <c r="D306" s="3" t="s">
        <v>63</v>
      </c>
      <c r="E306" s="3" t="s">
        <v>54</v>
      </c>
      <c r="F306" s="8">
        <v>44071</v>
      </c>
      <c r="G306" s="3" t="s">
        <v>56</v>
      </c>
      <c r="H306" s="3" t="s">
        <v>64</v>
      </c>
      <c r="I306" s="10">
        <v>12480.38</v>
      </c>
      <c r="J306" s="3" t="str">
        <f>IFERROR(VLOOKUP(B306, People!A:B, 2, FALSE), "")</f>
        <v/>
      </c>
    </row>
    <row r="307" spans="1:10" ht="13" x14ac:dyDescent="0.15">
      <c r="A307" s="3" t="s">
        <v>241</v>
      </c>
      <c r="B307" s="3" t="s">
        <v>144</v>
      </c>
      <c r="C307" s="3" t="s">
        <v>43</v>
      </c>
      <c r="D307" s="3" t="s">
        <v>63</v>
      </c>
      <c r="E307" s="3" t="s">
        <v>54</v>
      </c>
      <c r="F307" s="8">
        <v>44071</v>
      </c>
      <c r="G307" s="3" t="s">
        <v>56</v>
      </c>
      <c r="H307" s="3" t="s">
        <v>64</v>
      </c>
      <c r="I307" s="10">
        <v>12480.38</v>
      </c>
      <c r="J307" s="3" t="str">
        <f>IFERROR(VLOOKUP(B307, People!A:B, 2, FALSE), "")</f>
        <v/>
      </c>
    </row>
    <row r="308" spans="1:10" ht="13" x14ac:dyDescent="0.15">
      <c r="A308" s="3" t="s">
        <v>242</v>
      </c>
      <c r="B308" s="3" t="s">
        <v>243</v>
      </c>
      <c r="C308" s="3" t="s">
        <v>43</v>
      </c>
      <c r="D308" s="3" t="s">
        <v>63</v>
      </c>
      <c r="E308" s="3" t="s">
        <v>54</v>
      </c>
      <c r="F308" s="8">
        <v>44134</v>
      </c>
      <c r="G308" s="3" t="s">
        <v>56</v>
      </c>
      <c r="H308" s="3" t="s">
        <v>60</v>
      </c>
      <c r="I308" s="10">
        <v>34352.639999999999</v>
      </c>
      <c r="J308" s="3" t="str">
        <f>IFERROR(VLOOKUP(B308, People!A:B, 2, FALSE), "")</f>
        <v/>
      </c>
    </row>
    <row r="309" spans="1:10" ht="13" x14ac:dyDescent="0.15">
      <c r="A309" s="3" t="s">
        <v>242</v>
      </c>
      <c r="B309" s="3" t="s">
        <v>243</v>
      </c>
      <c r="C309" s="3" t="s">
        <v>43</v>
      </c>
      <c r="D309" s="3" t="s">
        <v>63</v>
      </c>
      <c r="E309" s="3" t="s">
        <v>54</v>
      </c>
      <c r="F309" s="8">
        <v>44134</v>
      </c>
      <c r="G309" s="3" t="s">
        <v>56</v>
      </c>
      <c r="H309" s="3" t="s">
        <v>64</v>
      </c>
      <c r="I309" s="10">
        <v>11450.88</v>
      </c>
      <c r="J309" s="3" t="str">
        <f>IFERROR(VLOOKUP(B309, People!A:B, 2, FALSE), "")</f>
        <v/>
      </c>
    </row>
    <row r="310" spans="1:10" ht="13" x14ac:dyDescent="0.15">
      <c r="A310" s="3" t="s">
        <v>242</v>
      </c>
      <c r="B310" s="3" t="s">
        <v>243</v>
      </c>
      <c r="C310" s="3" t="s">
        <v>43</v>
      </c>
      <c r="D310" s="3" t="s">
        <v>63</v>
      </c>
      <c r="E310" s="3" t="s">
        <v>54</v>
      </c>
      <c r="F310" s="8">
        <v>44134</v>
      </c>
      <c r="G310" s="3" t="s">
        <v>56</v>
      </c>
      <c r="H310" s="3" t="s">
        <v>64</v>
      </c>
      <c r="I310" s="10">
        <v>11450.88</v>
      </c>
      <c r="J310" s="3" t="str">
        <f>IFERROR(VLOOKUP(B310, People!A:B, 2, FALSE), "")</f>
        <v/>
      </c>
    </row>
    <row r="311" spans="1:10" ht="13" x14ac:dyDescent="0.15">
      <c r="A311" s="3" t="s">
        <v>244</v>
      </c>
      <c r="B311" s="3" t="s">
        <v>245</v>
      </c>
      <c r="C311" s="3" t="s">
        <v>43</v>
      </c>
      <c r="D311" s="3" t="s">
        <v>63</v>
      </c>
      <c r="E311" s="3" t="s">
        <v>54</v>
      </c>
      <c r="F311" s="8">
        <v>44091</v>
      </c>
      <c r="G311" s="3" t="s">
        <v>56</v>
      </c>
      <c r="H311" s="3" t="s">
        <v>58</v>
      </c>
      <c r="I311" s="10">
        <v>1314.92</v>
      </c>
      <c r="J311" s="3" t="str">
        <f>IFERROR(VLOOKUP(B311, People!A:B, 2, FALSE), "")</f>
        <v/>
      </c>
    </row>
    <row r="312" spans="1:10" ht="13" x14ac:dyDescent="0.15">
      <c r="A312" s="3" t="s">
        <v>244</v>
      </c>
      <c r="B312" s="3" t="s">
        <v>245</v>
      </c>
      <c r="C312" s="3" t="s">
        <v>43</v>
      </c>
      <c r="D312" s="3" t="s">
        <v>63</v>
      </c>
      <c r="E312" s="3" t="s">
        <v>54</v>
      </c>
      <c r="F312" s="8">
        <v>44091</v>
      </c>
      <c r="G312" s="3" t="s">
        <v>56</v>
      </c>
      <c r="H312" s="3" t="s">
        <v>60</v>
      </c>
      <c r="I312" s="10">
        <v>1314.92</v>
      </c>
      <c r="J312" s="3" t="str">
        <f>IFERROR(VLOOKUP(B312, People!A:B, 2, FALSE), "")</f>
        <v/>
      </c>
    </row>
    <row r="313" spans="1:10" ht="13" x14ac:dyDescent="0.15">
      <c r="A313" s="3" t="s">
        <v>244</v>
      </c>
      <c r="B313" s="3" t="s">
        <v>245</v>
      </c>
      <c r="C313" s="3" t="s">
        <v>43</v>
      </c>
      <c r="D313" s="3" t="s">
        <v>63</v>
      </c>
      <c r="E313" s="3" t="s">
        <v>54</v>
      </c>
      <c r="F313" s="8">
        <v>44091</v>
      </c>
      <c r="G313" s="3" t="s">
        <v>56</v>
      </c>
      <c r="H313" s="3" t="s">
        <v>64</v>
      </c>
      <c r="I313" s="3">
        <v>438.78</v>
      </c>
      <c r="J313" s="3" t="str">
        <f>IFERROR(VLOOKUP(B313, People!A:B, 2, FALSE), "")</f>
        <v/>
      </c>
    </row>
    <row r="314" spans="1:10" ht="13" x14ac:dyDescent="0.15">
      <c r="A314" s="3" t="s">
        <v>246</v>
      </c>
      <c r="B314" s="3" t="s">
        <v>247</v>
      </c>
      <c r="C314" s="3" t="s">
        <v>43</v>
      </c>
      <c r="D314" s="3" t="s">
        <v>63</v>
      </c>
      <c r="E314" s="3" t="s">
        <v>75</v>
      </c>
      <c r="F314" s="8">
        <v>44086</v>
      </c>
      <c r="G314" s="3" t="s">
        <v>56</v>
      </c>
      <c r="H314" s="3" t="s">
        <v>60</v>
      </c>
      <c r="I314" s="10">
        <v>19244.98</v>
      </c>
      <c r="J314" s="3" t="str">
        <f>IFERROR(VLOOKUP(B314, People!A:B, 2, FALSE), "")</f>
        <v/>
      </c>
    </row>
    <row r="315" spans="1:10" ht="13" x14ac:dyDescent="0.15">
      <c r="A315" s="3" t="s">
        <v>89</v>
      </c>
      <c r="B315" s="3" t="s">
        <v>5</v>
      </c>
      <c r="C315" s="3" t="s">
        <v>40</v>
      </c>
      <c r="D315" s="3" t="s">
        <v>51</v>
      </c>
      <c r="E315" s="3" t="s">
        <v>75</v>
      </c>
      <c r="F315" s="8">
        <v>44095</v>
      </c>
      <c r="G315" s="3" t="s">
        <v>56</v>
      </c>
      <c r="H315" s="3" t="s">
        <v>221</v>
      </c>
      <c r="I315" s="10">
        <v>22651.37</v>
      </c>
      <c r="J315" s="3" t="str">
        <f>IFERROR(VLOOKUP(B315, People!A:B, 2, FALSE), "")</f>
        <v>Alice Chen</v>
      </c>
    </row>
    <row r="316" spans="1:10" ht="13" x14ac:dyDescent="0.15">
      <c r="A316" s="3" t="s">
        <v>248</v>
      </c>
      <c r="B316" s="3" t="s">
        <v>249</v>
      </c>
      <c r="C316" s="3" t="s">
        <v>43</v>
      </c>
      <c r="D316" s="3" t="s">
        <v>51</v>
      </c>
      <c r="E316" s="3" t="s">
        <v>75</v>
      </c>
      <c r="F316" s="8">
        <v>44131</v>
      </c>
      <c r="G316" s="3" t="s">
        <v>56</v>
      </c>
      <c r="H316" s="3" t="s">
        <v>60</v>
      </c>
      <c r="I316" s="10">
        <v>211990.14</v>
      </c>
      <c r="J316" s="3" t="str">
        <f>IFERROR(VLOOKUP(B316, People!A:B, 2, FALSE), "")</f>
        <v/>
      </c>
    </row>
    <row r="317" spans="1:10" ht="13" x14ac:dyDescent="0.15">
      <c r="A317" s="3" t="s">
        <v>250</v>
      </c>
      <c r="B317" s="3" t="s">
        <v>243</v>
      </c>
      <c r="C317" s="3" t="s">
        <v>43</v>
      </c>
      <c r="D317" s="3" t="s">
        <v>63</v>
      </c>
      <c r="E317" s="3" t="s">
        <v>75</v>
      </c>
      <c r="F317" s="8">
        <v>44223</v>
      </c>
      <c r="G317" s="3" t="s">
        <v>56</v>
      </c>
      <c r="H317" s="3" t="s">
        <v>58</v>
      </c>
      <c r="I317" s="10">
        <v>4711.5600000000004</v>
      </c>
      <c r="J317" s="3" t="str">
        <f>IFERROR(VLOOKUP(B317, People!A:B, 2, FALSE), "")</f>
        <v/>
      </c>
    </row>
    <row r="318" spans="1:10" ht="13" x14ac:dyDescent="0.15">
      <c r="A318" s="3" t="s">
        <v>250</v>
      </c>
      <c r="B318" s="3" t="s">
        <v>243</v>
      </c>
      <c r="C318" s="3" t="s">
        <v>43</v>
      </c>
      <c r="D318" s="3" t="s">
        <v>63</v>
      </c>
      <c r="E318" s="3" t="s">
        <v>75</v>
      </c>
      <c r="F318" s="8">
        <v>44223</v>
      </c>
      <c r="G318" s="3" t="s">
        <v>56</v>
      </c>
      <c r="H318" s="3" t="s">
        <v>60</v>
      </c>
      <c r="I318" s="10">
        <v>1939.15</v>
      </c>
      <c r="J318" s="3" t="str">
        <f>IFERROR(VLOOKUP(B318, People!A:B, 2, FALSE), "")</f>
        <v/>
      </c>
    </row>
    <row r="319" spans="1:10" ht="13" x14ac:dyDescent="0.15">
      <c r="A319" s="3" t="s">
        <v>250</v>
      </c>
      <c r="B319" s="3" t="s">
        <v>243</v>
      </c>
      <c r="C319" s="3" t="s">
        <v>43</v>
      </c>
      <c r="D319" s="3" t="s">
        <v>63</v>
      </c>
      <c r="E319" s="3" t="s">
        <v>75</v>
      </c>
      <c r="F319" s="8">
        <v>44223</v>
      </c>
      <c r="G319" s="3" t="s">
        <v>56</v>
      </c>
      <c r="H319" s="3" t="s">
        <v>64</v>
      </c>
      <c r="I319" s="10">
        <v>1840.32</v>
      </c>
      <c r="J319" s="3" t="str">
        <f>IFERROR(VLOOKUP(B319, People!A:B, 2, FALSE), "")</f>
        <v/>
      </c>
    </row>
    <row r="320" spans="1:10" ht="13" x14ac:dyDescent="0.15">
      <c r="A320" s="3" t="s">
        <v>250</v>
      </c>
      <c r="B320" s="3" t="s">
        <v>243</v>
      </c>
      <c r="C320" s="3" t="s">
        <v>43</v>
      </c>
      <c r="D320" s="3" t="s">
        <v>63</v>
      </c>
      <c r="E320" s="3" t="s">
        <v>75</v>
      </c>
      <c r="F320" s="8">
        <v>44223</v>
      </c>
      <c r="G320" s="3" t="s">
        <v>56</v>
      </c>
      <c r="H320" s="3" t="s">
        <v>64</v>
      </c>
      <c r="I320" s="3">
        <v>920.16</v>
      </c>
      <c r="J320" s="3" t="str">
        <f>IFERROR(VLOOKUP(B320, People!A:B, 2, FALSE), "")</f>
        <v/>
      </c>
    </row>
    <row r="321" spans="1:10" ht="13" x14ac:dyDescent="0.15">
      <c r="A321" s="3" t="s">
        <v>251</v>
      </c>
      <c r="B321" s="3" t="s">
        <v>252</v>
      </c>
      <c r="C321" s="3" t="s">
        <v>43</v>
      </c>
      <c r="D321" s="3" t="s">
        <v>63</v>
      </c>
      <c r="E321" s="3" t="s">
        <v>54</v>
      </c>
      <c r="F321" s="8">
        <v>44188</v>
      </c>
      <c r="G321" s="3" t="s">
        <v>56</v>
      </c>
      <c r="H321" s="3" t="s">
        <v>58</v>
      </c>
      <c r="I321" s="10">
        <v>18648.86</v>
      </c>
      <c r="J321" s="3" t="str">
        <f>IFERROR(VLOOKUP(B321, People!A:B, 2, FALSE), "")</f>
        <v/>
      </c>
    </row>
    <row r="322" spans="1:10" ht="13" x14ac:dyDescent="0.15">
      <c r="A322" s="3" t="s">
        <v>251</v>
      </c>
      <c r="B322" s="3" t="s">
        <v>252</v>
      </c>
      <c r="C322" s="3" t="s">
        <v>43</v>
      </c>
      <c r="D322" s="3" t="s">
        <v>63</v>
      </c>
      <c r="E322" s="3" t="s">
        <v>54</v>
      </c>
      <c r="F322" s="8">
        <v>44188</v>
      </c>
      <c r="G322" s="3" t="s">
        <v>56</v>
      </c>
      <c r="H322" s="3" t="s">
        <v>58</v>
      </c>
      <c r="I322" s="10">
        <v>55945.16</v>
      </c>
      <c r="J322" s="3" t="str">
        <f>IFERROR(VLOOKUP(B322, People!A:B, 2, FALSE), "")</f>
        <v/>
      </c>
    </row>
    <row r="323" spans="1:10" ht="13" x14ac:dyDescent="0.15">
      <c r="A323" s="3" t="s">
        <v>251</v>
      </c>
      <c r="B323" s="3" t="s">
        <v>252</v>
      </c>
      <c r="C323" s="3" t="s">
        <v>43</v>
      </c>
      <c r="D323" s="3" t="s">
        <v>63</v>
      </c>
      <c r="E323" s="3" t="s">
        <v>54</v>
      </c>
      <c r="F323" s="8">
        <v>44188</v>
      </c>
      <c r="G323" s="3" t="s">
        <v>56</v>
      </c>
      <c r="H323" s="3" t="s">
        <v>64</v>
      </c>
      <c r="I323" s="10">
        <v>18648.86</v>
      </c>
      <c r="J323" s="3" t="str">
        <f>IFERROR(VLOOKUP(B323, People!A:B, 2, FALSE), "")</f>
        <v/>
      </c>
    </row>
    <row r="324" spans="1:10" ht="13" x14ac:dyDescent="0.15">
      <c r="A324" s="3" t="s">
        <v>251</v>
      </c>
      <c r="B324" s="3" t="s">
        <v>252</v>
      </c>
      <c r="C324" s="3" t="s">
        <v>43</v>
      </c>
      <c r="D324" s="3" t="s">
        <v>63</v>
      </c>
      <c r="E324" s="3" t="s">
        <v>54</v>
      </c>
      <c r="F324" s="8">
        <v>44188</v>
      </c>
      <c r="G324" s="3" t="s">
        <v>56</v>
      </c>
      <c r="H324" s="3" t="s">
        <v>64</v>
      </c>
      <c r="I324" s="10">
        <v>18648.86</v>
      </c>
      <c r="J324" s="3" t="str">
        <f>IFERROR(VLOOKUP(B324, People!A:B, 2, FALSE), "")</f>
        <v/>
      </c>
    </row>
    <row r="325" spans="1:10" ht="13" x14ac:dyDescent="0.15">
      <c r="A325" s="3" t="s">
        <v>253</v>
      </c>
      <c r="B325" s="3" t="s">
        <v>254</v>
      </c>
      <c r="C325" s="3" t="s">
        <v>43</v>
      </c>
      <c r="D325" s="3" t="s">
        <v>63</v>
      </c>
      <c r="E325" s="3" t="s">
        <v>54</v>
      </c>
      <c r="F325" s="8">
        <v>44104</v>
      </c>
      <c r="G325" s="3" t="s">
        <v>56</v>
      </c>
      <c r="H325" s="3" t="s">
        <v>60</v>
      </c>
      <c r="I325" s="10">
        <v>21470.400000000001</v>
      </c>
      <c r="J325" s="3" t="str">
        <f>IFERROR(VLOOKUP(B325, People!A:B, 2, FALSE), "")</f>
        <v/>
      </c>
    </row>
    <row r="326" spans="1:10" ht="13" x14ac:dyDescent="0.15">
      <c r="A326" s="3" t="s">
        <v>253</v>
      </c>
      <c r="B326" s="3" t="s">
        <v>254</v>
      </c>
      <c r="C326" s="3" t="s">
        <v>43</v>
      </c>
      <c r="D326" s="3" t="s">
        <v>63</v>
      </c>
      <c r="E326" s="3" t="s">
        <v>54</v>
      </c>
      <c r="F326" s="8">
        <v>44104</v>
      </c>
      <c r="G326" s="3" t="s">
        <v>56</v>
      </c>
      <c r="H326" s="3" t="s">
        <v>64</v>
      </c>
      <c r="I326" s="10">
        <v>7156.8</v>
      </c>
      <c r="J326" s="3" t="str">
        <f>IFERROR(VLOOKUP(B326, People!A:B, 2, FALSE), "")</f>
        <v/>
      </c>
    </row>
    <row r="327" spans="1:10" ht="13" x14ac:dyDescent="0.15">
      <c r="A327" s="3" t="s">
        <v>253</v>
      </c>
      <c r="B327" s="3" t="s">
        <v>254</v>
      </c>
      <c r="C327" s="3" t="s">
        <v>43</v>
      </c>
      <c r="D327" s="3" t="s">
        <v>63</v>
      </c>
      <c r="E327" s="3" t="s">
        <v>54</v>
      </c>
      <c r="F327" s="8">
        <v>44104</v>
      </c>
      <c r="G327" s="3" t="s">
        <v>56</v>
      </c>
      <c r="H327" s="3" t="s">
        <v>64</v>
      </c>
      <c r="I327" s="10">
        <v>7156.8</v>
      </c>
      <c r="J327" s="3" t="str">
        <f>IFERROR(VLOOKUP(B327, People!A:B, 2, FALSE), "")</f>
        <v/>
      </c>
    </row>
    <row r="328" spans="1:10" ht="13" x14ac:dyDescent="0.15">
      <c r="A328" s="3" t="s">
        <v>255</v>
      </c>
      <c r="B328" s="3" t="s">
        <v>227</v>
      </c>
      <c r="C328" s="3" t="s">
        <v>41</v>
      </c>
      <c r="D328" s="3" t="s">
        <v>63</v>
      </c>
      <c r="E328" s="3" t="s">
        <v>75</v>
      </c>
      <c r="F328" s="8">
        <v>44116</v>
      </c>
      <c r="G328" s="3" t="s">
        <v>56</v>
      </c>
      <c r="H328" s="3" t="s">
        <v>221</v>
      </c>
      <c r="I328" s="10">
        <v>4089.6</v>
      </c>
      <c r="J328" s="3" t="str">
        <f>IFERROR(VLOOKUP(B328, People!A:B, 2, FALSE), "")</f>
        <v/>
      </c>
    </row>
    <row r="329" spans="1:10" ht="13" x14ac:dyDescent="0.15">
      <c r="A329" s="3" t="s">
        <v>255</v>
      </c>
      <c r="B329" s="3" t="s">
        <v>227</v>
      </c>
      <c r="C329" s="3" t="s">
        <v>41</v>
      </c>
      <c r="D329" s="3" t="s">
        <v>63</v>
      </c>
      <c r="E329" s="3" t="s">
        <v>75</v>
      </c>
      <c r="F329" s="8">
        <v>44116</v>
      </c>
      <c r="G329" s="3" t="s">
        <v>56</v>
      </c>
      <c r="H329" s="3" t="s">
        <v>58</v>
      </c>
      <c r="I329" s="10">
        <v>5316.48</v>
      </c>
      <c r="J329" s="3" t="str">
        <f>IFERROR(VLOOKUP(B329, People!A:B, 2, FALSE), "")</f>
        <v/>
      </c>
    </row>
    <row r="330" spans="1:10" ht="13" x14ac:dyDescent="0.15">
      <c r="A330" s="3" t="s">
        <v>256</v>
      </c>
      <c r="B330" s="3" t="s">
        <v>249</v>
      </c>
      <c r="C330" s="3" t="s">
        <v>43</v>
      </c>
      <c r="D330" s="3" t="s">
        <v>51</v>
      </c>
      <c r="E330" s="3" t="s">
        <v>54</v>
      </c>
      <c r="F330" s="8">
        <v>44153</v>
      </c>
      <c r="G330" s="3" t="s">
        <v>56</v>
      </c>
      <c r="H330" s="3" t="s">
        <v>60</v>
      </c>
      <c r="I330" s="10">
        <v>5876.24</v>
      </c>
      <c r="J330" s="3" t="str">
        <f>IFERROR(VLOOKUP(B330, People!A:B, 2, FALSE), "")</f>
        <v/>
      </c>
    </row>
    <row r="331" spans="1:10" ht="13" x14ac:dyDescent="0.15">
      <c r="A331" s="3" t="s">
        <v>257</v>
      </c>
      <c r="B331" s="3" t="s">
        <v>258</v>
      </c>
      <c r="C331" s="3" t="s">
        <v>43</v>
      </c>
      <c r="D331" s="3" t="s">
        <v>63</v>
      </c>
      <c r="E331" s="3" t="s">
        <v>75</v>
      </c>
      <c r="F331" s="8">
        <v>44129</v>
      </c>
      <c r="G331" s="3" t="s">
        <v>56</v>
      </c>
      <c r="H331" s="3" t="s">
        <v>64</v>
      </c>
      <c r="I331" s="10">
        <v>2319.14</v>
      </c>
      <c r="J331" s="3" t="str">
        <f>IFERROR(VLOOKUP(B331, People!A:B, 2, FALSE), "")</f>
        <v/>
      </c>
    </row>
    <row r="332" spans="1:10" ht="13" x14ac:dyDescent="0.15">
      <c r="A332" s="3" t="s">
        <v>259</v>
      </c>
      <c r="B332" s="3" t="s">
        <v>137</v>
      </c>
      <c r="C332" s="3" t="s">
        <v>41</v>
      </c>
      <c r="D332" s="3" t="s">
        <v>63</v>
      </c>
      <c r="E332" s="3" t="s">
        <v>54</v>
      </c>
      <c r="F332" s="8">
        <v>44195</v>
      </c>
      <c r="G332" s="3" t="s">
        <v>56</v>
      </c>
      <c r="H332" s="3" t="s">
        <v>58</v>
      </c>
      <c r="I332" s="10">
        <v>10905.6</v>
      </c>
      <c r="J332" s="3" t="str">
        <f>IFERROR(VLOOKUP(B332, People!A:B, 2, FALSE), "")</f>
        <v/>
      </c>
    </row>
    <row r="333" spans="1:10" ht="13" x14ac:dyDescent="0.15">
      <c r="A333" s="3" t="s">
        <v>259</v>
      </c>
      <c r="B333" s="3" t="s">
        <v>137</v>
      </c>
      <c r="C333" s="3" t="s">
        <v>41</v>
      </c>
      <c r="D333" s="3" t="s">
        <v>63</v>
      </c>
      <c r="E333" s="3" t="s">
        <v>54</v>
      </c>
      <c r="F333" s="8">
        <v>44195</v>
      </c>
      <c r="G333" s="3" t="s">
        <v>56</v>
      </c>
      <c r="H333" s="3" t="s">
        <v>58</v>
      </c>
      <c r="I333" s="10">
        <v>21811.200000000001</v>
      </c>
      <c r="J333" s="3" t="str">
        <f>IFERROR(VLOOKUP(B333, People!A:B, 2, FALSE), "")</f>
        <v/>
      </c>
    </row>
    <row r="334" spans="1:10" ht="13" x14ac:dyDescent="0.15">
      <c r="A334" s="3" t="s">
        <v>259</v>
      </c>
      <c r="B334" s="3" t="s">
        <v>137</v>
      </c>
      <c r="C334" s="3" t="s">
        <v>41</v>
      </c>
      <c r="D334" s="3" t="s">
        <v>63</v>
      </c>
      <c r="E334" s="3" t="s">
        <v>54</v>
      </c>
      <c r="F334" s="8">
        <v>44195</v>
      </c>
      <c r="G334" s="3" t="s">
        <v>56</v>
      </c>
      <c r="H334" s="3" t="s">
        <v>60</v>
      </c>
      <c r="I334" s="10">
        <v>16358.4</v>
      </c>
      <c r="J334" s="3" t="str">
        <f>IFERROR(VLOOKUP(B334, People!A:B, 2, FALSE), "")</f>
        <v/>
      </c>
    </row>
    <row r="335" spans="1:10" ht="13" x14ac:dyDescent="0.15">
      <c r="A335" s="3" t="s">
        <v>259</v>
      </c>
      <c r="B335" s="3" t="s">
        <v>137</v>
      </c>
      <c r="C335" s="3" t="s">
        <v>41</v>
      </c>
      <c r="D335" s="3" t="s">
        <v>63</v>
      </c>
      <c r="E335" s="3" t="s">
        <v>54</v>
      </c>
      <c r="F335" s="8">
        <v>44195</v>
      </c>
      <c r="G335" s="3" t="s">
        <v>56</v>
      </c>
      <c r="H335" s="3" t="s">
        <v>64</v>
      </c>
      <c r="I335" s="10">
        <v>10905.6</v>
      </c>
      <c r="J335" s="3" t="str">
        <f>IFERROR(VLOOKUP(B335, People!A:B, 2, FALSE), "")</f>
        <v/>
      </c>
    </row>
    <row r="336" spans="1:10" ht="13" x14ac:dyDescent="0.15">
      <c r="A336" s="3" t="s">
        <v>259</v>
      </c>
      <c r="B336" s="3" t="s">
        <v>137</v>
      </c>
      <c r="C336" s="3" t="s">
        <v>41</v>
      </c>
      <c r="D336" s="3" t="s">
        <v>63</v>
      </c>
      <c r="E336" s="3" t="s">
        <v>54</v>
      </c>
      <c r="F336" s="8">
        <v>44195</v>
      </c>
      <c r="G336" s="3" t="s">
        <v>56</v>
      </c>
      <c r="H336" s="3" t="s">
        <v>64</v>
      </c>
      <c r="I336" s="10">
        <v>10905.6</v>
      </c>
      <c r="J336" s="3" t="str">
        <f>IFERROR(VLOOKUP(B336, People!A:B, 2, FALSE), "")</f>
        <v/>
      </c>
    </row>
    <row r="337" spans="1:10" ht="13" x14ac:dyDescent="0.15">
      <c r="A337" s="3" t="s">
        <v>260</v>
      </c>
      <c r="B337" s="3" t="s">
        <v>161</v>
      </c>
      <c r="C337" s="3" t="s">
        <v>43</v>
      </c>
      <c r="D337" s="3" t="s">
        <v>63</v>
      </c>
      <c r="E337" s="3" t="s">
        <v>75</v>
      </c>
      <c r="F337" s="8">
        <v>44127</v>
      </c>
      <c r="G337" s="3" t="s">
        <v>56</v>
      </c>
      <c r="H337" s="3" t="s">
        <v>58</v>
      </c>
      <c r="I337" s="10">
        <v>1741.49</v>
      </c>
      <c r="J337" s="3" t="str">
        <f>IFERROR(VLOOKUP(B337, People!A:B, 2, FALSE), "")</f>
        <v/>
      </c>
    </row>
    <row r="338" spans="1:10" ht="13" x14ac:dyDescent="0.15">
      <c r="A338" s="3" t="s">
        <v>260</v>
      </c>
      <c r="B338" s="3" t="s">
        <v>161</v>
      </c>
      <c r="C338" s="3" t="s">
        <v>43</v>
      </c>
      <c r="D338" s="3" t="s">
        <v>63</v>
      </c>
      <c r="E338" s="3" t="s">
        <v>75</v>
      </c>
      <c r="F338" s="8">
        <v>44127</v>
      </c>
      <c r="G338" s="3" t="s">
        <v>56</v>
      </c>
      <c r="H338" s="3" t="s">
        <v>58</v>
      </c>
      <c r="I338" s="10">
        <v>5222.76</v>
      </c>
      <c r="J338" s="3" t="str">
        <f>IFERROR(VLOOKUP(B338, People!A:B, 2, FALSE), "")</f>
        <v/>
      </c>
    </row>
    <row r="339" spans="1:10" ht="13" x14ac:dyDescent="0.15">
      <c r="A339" s="3" t="s">
        <v>260</v>
      </c>
      <c r="B339" s="3" t="s">
        <v>161</v>
      </c>
      <c r="C339" s="3" t="s">
        <v>43</v>
      </c>
      <c r="D339" s="3" t="s">
        <v>63</v>
      </c>
      <c r="E339" s="3" t="s">
        <v>75</v>
      </c>
      <c r="F339" s="8">
        <v>44127</v>
      </c>
      <c r="G339" s="3" t="s">
        <v>56</v>
      </c>
      <c r="H339" s="3" t="s">
        <v>60</v>
      </c>
      <c r="I339" s="10">
        <v>5803.82</v>
      </c>
      <c r="J339" s="3" t="str">
        <f>IFERROR(VLOOKUP(B339, People!A:B, 2, FALSE), "")</f>
        <v/>
      </c>
    </row>
    <row r="340" spans="1:10" ht="13" x14ac:dyDescent="0.15">
      <c r="A340" s="3" t="s">
        <v>260</v>
      </c>
      <c r="B340" s="3" t="s">
        <v>161</v>
      </c>
      <c r="C340" s="3" t="s">
        <v>43</v>
      </c>
      <c r="D340" s="3" t="s">
        <v>63</v>
      </c>
      <c r="E340" s="3" t="s">
        <v>75</v>
      </c>
      <c r="F340" s="8">
        <v>44127</v>
      </c>
      <c r="G340" s="3" t="s">
        <v>56</v>
      </c>
      <c r="H340" s="3" t="s">
        <v>64</v>
      </c>
      <c r="I340" s="10">
        <v>1934.04</v>
      </c>
      <c r="J340" s="3" t="str">
        <f>IFERROR(VLOOKUP(B340, People!A:B, 2, FALSE), "")</f>
        <v/>
      </c>
    </row>
    <row r="341" spans="1:10" ht="13" x14ac:dyDescent="0.15">
      <c r="A341" s="3" t="s">
        <v>260</v>
      </c>
      <c r="B341" s="3" t="s">
        <v>161</v>
      </c>
      <c r="C341" s="3" t="s">
        <v>43</v>
      </c>
      <c r="D341" s="3" t="s">
        <v>63</v>
      </c>
      <c r="E341" s="3" t="s">
        <v>75</v>
      </c>
      <c r="F341" s="8">
        <v>44127</v>
      </c>
      <c r="G341" s="3" t="s">
        <v>56</v>
      </c>
      <c r="H341" s="3" t="s">
        <v>64</v>
      </c>
      <c r="I341" s="3">
        <v>967.87</v>
      </c>
      <c r="J341" s="3" t="str">
        <f>IFERROR(VLOOKUP(B341, People!A:B, 2, FALSE), "")</f>
        <v/>
      </c>
    </row>
    <row r="342" spans="1:10" ht="13" x14ac:dyDescent="0.15">
      <c r="A342" s="3" t="s">
        <v>261</v>
      </c>
      <c r="B342" s="3" t="s">
        <v>262</v>
      </c>
      <c r="C342" s="3" t="s">
        <v>43</v>
      </c>
      <c r="D342" s="3" t="s">
        <v>51</v>
      </c>
      <c r="E342" s="3" t="s">
        <v>75</v>
      </c>
      <c r="F342" s="8">
        <v>44254</v>
      </c>
      <c r="G342" s="3" t="s">
        <v>114</v>
      </c>
      <c r="H342" s="3" t="s">
        <v>115</v>
      </c>
      <c r="I342" s="10">
        <v>8247.36</v>
      </c>
      <c r="J342" s="3" t="str">
        <f>IFERROR(VLOOKUP(B342, People!A:B, 2, FALSE), "")</f>
        <v/>
      </c>
    </row>
    <row r="343" spans="1:10" ht="13" x14ac:dyDescent="0.15">
      <c r="A343" s="3" t="s">
        <v>261</v>
      </c>
      <c r="B343" s="3" t="s">
        <v>262</v>
      </c>
      <c r="C343" s="3" t="s">
        <v>43</v>
      </c>
      <c r="D343" s="3" t="s">
        <v>51</v>
      </c>
      <c r="E343" s="3" t="s">
        <v>75</v>
      </c>
      <c r="F343" s="8">
        <v>44254</v>
      </c>
      <c r="G343" s="3" t="s">
        <v>114</v>
      </c>
      <c r="H343" s="3" t="s">
        <v>115</v>
      </c>
      <c r="I343" s="10">
        <v>16494.72</v>
      </c>
      <c r="J343" s="3" t="str">
        <f>IFERROR(VLOOKUP(B343, People!A:B, 2, FALSE), "")</f>
        <v/>
      </c>
    </row>
    <row r="344" spans="1:10" ht="13" x14ac:dyDescent="0.15">
      <c r="A344" s="3" t="s">
        <v>261</v>
      </c>
      <c r="B344" s="3" t="s">
        <v>262</v>
      </c>
      <c r="C344" s="3" t="s">
        <v>43</v>
      </c>
      <c r="D344" s="3" t="s">
        <v>51</v>
      </c>
      <c r="E344" s="3" t="s">
        <v>75</v>
      </c>
      <c r="F344" s="8">
        <v>44254</v>
      </c>
      <c r="G344" s="3" t="s">
        <v>114</v>
      </c>
      <c r="H344" s="3" t="s">
        <v>115</v>
      </c>
      <c r="I344" s="10">
        <v>57731.519999999997</v>
      </c>
      <c r="J344" s="3" t="str">
        <f>IFERROR(VLOOKUP(B344, People!A:B, 2, FALSE), "")</f>
        <v/>
      </c>
    </row>
    <row r="345" spans="1:10" ht="13" x14ac:dyDescent="0.15">
      <c r="A345" s="3" t="s">
        <v>261</v>
      </c>
      <c r="B345" s="3" t="s">
        <v>262</v>
      </c>
      <c r="C345" s="3" t="s">
        <v>43</v>
      </c>
      <c r="D345" s="3" t="s">
        <v>51</v>
      </c>
      <c r="E345" s="3" t="s">
        <v>75</v>
      </c>
      <c r="F345" s="8">
        <v>44254</v>
      </c>
      <c r="G345" s="3" t="s">
        <v>114</v>
      </c>
      <c r="H345" s="3" t="s">
        <v>115</v>
      </c>
      <c r="I345" s="10">
        <v>82473.600000000006</v>
      </c>
      <c r="J345" s="3" t="str">
        <f>IFERROR(VLOOKUP(B345, People!A:B, 2, FALSE), "")</f>
        <v/>
      </c>
    </row>
    <row r="346" spans="1:10" ht="13" x14ac:dyDescent="0.15">
      <c r="A346" s="3" t="s">
        <v>263</v>
      </c>
      <c r="B346" s="3" t="s">
        <v>161</v>
      </c>
      <c r="C346" s="3" t="s">
        <v>43</v>
      </c>
      <c r="D346" s="3" t="s">
        <v>63</v>
      </c>
      <c r="E346" s="3" t="s">
        <v>75</v>
      </c>
      <c r="F346" s="8">
        <v>44131</v>
      </c>
      <c r="G346" s="3" t="s">
        <v>56</v>
      </c>
      <c r="H346" s="3" t="s">
        <v>58</v>
      </c>
      <c r="I346" s="10">
        <v>14354.5</v>
      </c>
      <c r="J346" s="3" t="str">
        <f>IFERROR(VLOOKUP(B346, People!A:B, 2, FALSE), "")</f>
        <v/>
      </c>
    </row>
    <row r="347" spans="1:10" ht="13" x14ac:dyDescent="0.15">
      <c r="A347" s="3" t="s">
        <v>263</v>
      </c>
      <c r="B347" s="3" t="s">
        <v>161</v>
      </c>
      <c r="C347" s="3" t="s">
        <v>43</v>
      </c>
      <c r="D347" s="3" t="s">
        <v>63</v>
      </c>
      <c r="E347" s="3" t="s">
        <v>75</v>
      </c>
      <c r="F347" s="8">
        <v>44131</v>
      </c>
      <c r="G347" s="3" t="s">
        <v>56</v>
      </c>
      <c r="H347" s="3" t="s">
        <v>64</v>
      </c>
      <c r="I347" s="10">
        <v>2290.1799999999998</v>
      </c>
      <c r="J347" s="3" t="str">
        <f>IFERROR(VLOOKUP(B347, People!A:B, 2, FALSE), "")</f>
        <v/>
      </c>
    </row>
    <row r="348" spans="1:10" ht="13" x14ac:dyDescent="0.15">
      <c r="A348" s="3" t="s">
        <v>263</v>
      </c>
      <c r="B348" s="3" t="s">
        <v>161</v>
      </c>
      <c r="C348" s="3" t="s">
        <v>43</v>
      </c>
      <c r="D348" s="3" t="s">
        <v>63</v>
      </c>
      <c r="E348" s="3" t="s">
        <v>75</v>
      </c>
      <c r="F348" s="8">
        <v>44131</v>
      </c>
      <c r="G348" s="3" t="s">
        <v>56</v>
      </c>
      <c r="H348" s="3" t="s">
        <v>64</v>
      </c>
      <c r="I348" s="10">
        <v>1145.0899999999999</v>
      </c>
      <c r="J348" s="3" t="str">
        <f>IFERROR(VLOOKUP(B348, People!A:B, 2, FALSE), "")</f>
        <v/>
      </c>
    </row>
    <row r="349" spans="1:10" ht="13" x14ac:dyDescent="0.15">
      <c r="A349" s="3" t="s">
        <v>264</v>
      </c>
      <c r="B349" s="3" t="s">
        <v>265</v>
      </c>
      <c r="C349" s="3" t="s">
        <v>43</v>
      </c>
      <c r="D349" s="3" t="s">
        <v>51</v>
      </c>
      <c r="E349" s="3" t="s">
        <v>75</v>
      </c>
      <c r="F349" s="8">
        <v>44126</v>
      </c>
      <c r="G349" s="3" t="s">
        <v>56</v>
      </c>
      <c r="H349" s="3" t="s">
        <v>58</v>
      </c>
      <c r="I349" s="10">
        <v>10201.98</v>
      </c>
      <c r="J349" s="3" t="str">
        <f>IFERROR(VLOOKUP(B349, People!A:B, 2, FALSE), "")</f>
        <v/>
      </c>
    </row>
    <row r="350" spans="1:10" ht="13" x14ac:dyDescent="0.15">
      <c r="A350" s="3" t="s">
        <v>264</v>
      </c>
      <c r="B350" s="3" t="s">
        <v>265</v>
      </c>
      <c r="C350" s="3" t="s">
        <v>43</v>
      </c>
      <c r="D350" s="3" t="s">
        <v>51</v>
      </c>
      <c r="E350" s="3" t="s">
        <v>75</v>
      </c>
      <c r="F350" s="8">
        <v>44126</v>
      </c>
      <c r="G350" s="3" t="s">
        <v>56</v>
      </c>
      <c r="H350" s="3" t="s">
        <v>64</v>
      </c>
      <c r="I350" s="10">
        <v>10201.98</v>
      </c>
      <c r="J350" s="3" t="str">
        <f>IFERROR(VLOOKUP(B350, People!A:B, 2, FALSE), "")</f>
        <v/>
      </c>
    </row>
    <row r="351" spans="1:10" ht="13" x14ac:dyDescent="0.15">
      <c r="A351" s="3" t="s">
        <v>264</v>
      </c>
      <c r="B351" s="3" t="s">
        <v>265</v>
      </c>
      <c r="C351" s="3" t="s">
        <v>43</v>
      </c>
      <c r="D351" s="3" t="s">
        <v>51</v>
      </c>
      <c r="E351" s="3" t="s">
        <v>75</v>
      </c>
      <c r="F351" s="8">
        <v>44126</v>
      </c>
      <c r="G351" s="3" t="s">
        <v>56</v>
      </c>
      <c r="H351" s="3" t="s">
        <v>64</v>
      </c>
      <c r="I351" s="10">
        <v>5100.99</v>
      </c>
      <c r="J351" s="3" t="str">
        <f>IFERROR(VLOOKUP(B351, People!A:B, 2, FALSE), "")</f>
        <v/>
      </c>
    </row>
    <row r="352" spans="1:10" ht="13" x14ac:dyDescent="0.15">
      <c r="A352" s="3" t="s">
        <v>266</v>
      </c>
      <c r="B352" s="3" t="s">
        <v>254</v>
      </c>
      <c r="C352" s="3" t="s">
        <v>43</v>
      </c>
      <c r="D352" s="3" t="s">
        <v>63</v>
      </c>
      <c r="E352" s="3" t="s">
        <v>75</v>
      </c>
      <c r="F352" s="8">
        <v>44135</v>
      </c>
      <c r="G352" s="3" t="s">
        <v>56</v>
      </c>
      <c r="H352" s="3" t="s">
        <v>58</v>
      </c>
      <c r="I352" s="10">
        <v>1325.71</v>
      </c>
      <c r="J352" s="3" t="str">
        <f>IFERROR(VLOOKUP(B352, People!A:B, 2, FALSE), "")</f>
        <v/>
      </c>
    </row>
    <row r="353" spans="1:10" ht="13" x14ac:dyDescent="0.15">
      <c r="A353" s="3" t="s">
        <v>266</v>
      </c>
      <c r="B353" s="3" t="s">
        <v>254</v>
      </c>
      <c r="C353" s="3" t="s">
        <v>43</v>
      </c>
      <c r="D353" s="3" t="s">
        <v>63</v>
      </c>
      <c r="E353" s="3" t="s">
        <v>75</v>
      </c>
      <c r="F353" s="8">
        <v>44135</v>
      </c>
      <c r="G353" s="3" t="s">
        <v>56</v>
      </c>
      <c r="H353" s="3" t="s">
        <v>60</v>
      </c>
      <c r="I353" s="3">
        <v>405.55</v>
      </c>
      <c r="J353" s="3" t="str">
        <f>IFERROR(VLOOKUP(B353, People!A:B, 2, FALSE), "")</f>
        <v/>
      </c>
    </row>
    <row r="354" spans="1:10" ht="13" x14ac:dyDescent="0.15">
      <c r="A354" s="3" t="s">
        <v>266</v>
      </c>
      <c r="B354" s="3" t="s">
        <v>254</v>
      </c>
      <c r="C354" s="3" t="s">
        <v>43</v>
      </c>
      <c r="D354" s="3" t="s">
        <v>63</v>
      </c>
      <c r="E354" s="3" t="s">
        <v>75</v>
      </c>
      <c r="F354" s="8">
        <v>44135</v>
      </c>
      <c r="G354" s="3" t="s">
        <v>56</v>
      </c>
      <c r="H354" s="3" t="s">
        <v>64</v>
      </c>
      <c r="I354" s="3">
        <v>736.13</v>
      </c>
      <c r="J354" s="3" t="str">
        <f>IFERROR(VLOOKUP(B354, People!A:B, 2, FALSE), "")</f>
        <v/>
      </c>
    </row>
    <row r="355" spans="1:10" ht="13" x14ac:dyDescent="0.15">
      <c r="A355" s="3" t="s">
        <v>266</v>
      </c>
      <c r="B355" s="3" t="s">
        <v>254</v>
      </c>
      <c r="C355" s="3" t="s">
        <v>43</v>
      </c>
      <c r="D355" s="3" t="s">
        <v>63</v>
      </c>
      <c r="E355" s="3" t="s">
        <v>75</v>
      </c>
      <c r="F355" s="8">
        <v>44135</v>
      </c>
      <c r="G355" s="3" t="s">
        <v>56</v>
      </c>
      <c r="H355" s="3" t="s">
        <v>64</v>
      </c>
      <c r="I355" s="3">
        <v>470.3</v>
      </c>
      <c r="J355" s="3" t="str">
        <f>IFERROR(VLOOKUP(B355, People!A:B, 2, FALSE), "")</f>
        <v/>
      </c>
    </row>
    <row r="356" spans="1:10" ht="13" x14ac:dyDescent="0.15">
      <c r="A356" s="3" t="s">
        <v>267</v>
      </c>
      <c r="B356" s="3" t="s">
        <v>268</v>
      </c>
      <c r="C356" s="3" t="s">
        <v>43</v>
      </c>
      <c r="D356" s="3" t="s">
        <v>51</v>
      </c>
      <c r="E356" s="3" t="s">
        <v>75</v>
      </c>
      <c r="F356" s="8">
        <v>44150</v>
      </c>
      <c r="G356" s="3" t="s">
        <v>56</v>
      </c>
      <c r="H356" s="3" t="s">
        <v>221</v>
      </c>
      <c r="I356" s="10">
        <v>23752.400000000001</v>
      </c>
      <c r="J356" s="3" t="str">
        <f>IFERROR(VLOOKUP(B356, People!A:B, 2, FALSE), "")</f>
        <v/>
      </c>
    </row>
    <row r="357" spans="1:10" ht="13" x14ac:dyDescent="0.15">
      <c r="A357" s="3" t="s">
        <v>267</v>
      </c>
      <c r="B357" s="3" t="s">
        <v>268</v>
      </c>
      <c r="C357" s="3" t="s">
        <v>43</v>
      </c>
      <c r="D357" s="3" t="s">
        <v>51</v>
      </c>
      <c r="E357" s="3" t="s">
        <v>75</v>
      </c>
      <c r="F357" s="8">
        <v>44150</v>
      </c>
      <c r="G357" s="3" t="s">
        <v>56</v>
      </c>
      <c r="H357" s="3" t="s">
        <v>58</v>
      </c>
      <c r="I357" s="10">
        <v>4181.41</v>
      </c>
      <c r="J357" s="3" t="str">
        <f>IFERROR(VLOOKUP(B357, People!A:B, 2, FALSE), "")</f>
        <v/>
      </c>
    </row>
    <row r="358" spans="1:10" ht="13" x14ac:dyDescent="0.15">
      <c r="A358" s="3" t="s">
        <v>267</v>
      </c>
      <c r="B358" s="3" t="s">
        <v>268</v>
      </c>
      <c r="C358" s="3" t="s">
        <v>43</v>
      </c>
      <c r="D358" s="3" t="s">
        <v>51</v>
      </c>
      <c r="E358" s="3" t="s">
        <v>75</v>
      </c>
      <c r="F358" s="8">
        <v>44150</v>
      </c>
      <c r="G358" s="3" t="s">
        <v>56</v>
      </c>
      <c r="H358" s="3" t="s">
        <v>60</v>
      </c>
      <c r="I358" s="10">
        <v>8684.4699999999993</v>
      </c>
      <c r="J358" s="3" t="str">
        <f>IFERROR(VLOOKUP(B358, People!A:B, 2, FALSE), "")</f>
        <v/>
      </c>
    </row>
    <row r="359" spans="1:10" ht="13" x14ac:dyDescent="0.15">
      <c r="A359" s="3" t="s">
        <v>267</v>
      </c>
      <c r="B359" s="3" t="s">
        <v>268</v>
      </c>
      <c r="C359" s="3" t="s">
        <v>43</v>
      </c>
      <c r="D359" s="3" t="s">
        <v>51</v>
      </c>
      <c r="E359" s="3" t="s">
        <v>75</v>
      </c>
      <c r="F359" s="8">
        <v>44150</v>
      </c>
      <c r="G359" s="3" t="s">
        <v>56</v>
      </c>
      <c r="H359" s="3" t="s">
        <v>64</v>
      </c>
      <c r="I359" s="10">
        <v>4181.41</v>
      </c>
      <c r="J359" s="3" t="str">
        <f>IFERROR(VLOOKUP(B359, People!A:B, 2, FALSE), "")</f>
        <v/>
      </c>
    </row>
    <row r="360" spans="1:10" ht="13" x14ac:dyDescent="0.15">
      <c r="A360" s="3" t="s">
        <v>267</v>
      </c>
      <c r="B360" s="3" t="s">
        <v>268</v>
      </c>
      <c r="C360" s="3" t="s">
        <v>43</v>
      </c>
      <c r="D360" s="3" t="s">
        <v>51</v>
      </c>
      <c r="E360" s="3" t="s">
        <v>75</v>
      </c>
      <c r="F360" s="8">
        <v>44150</v>
      </c>
      <c r="G360" s="3" t="s">
        <v>56</v>
      </c>
      <c r="H360" s="3" t="s">
        <v>64</v>
      </c>
      <c r="I360" s="10">
        <v>2090.71</v>
      </c>
      <c r="J360" s="3" t="str">
        <f>IFERROR(VLOOKUP(B360, People!A:B, 2, FALSE), "")</f>
        <v/>
      </c>
    </row>
    <row r="361" spans="1:10" ht="13" x14ac:dyDescent="0.15">
      <c r="A361" s="3" t="s">
        <v>269</v>
      </c>
      <c r="B361" s="3" t="s">
        <v>129</v>
      </c>
      <c r="C361" s="3" t="s">
        <v>40</v>
      </c>
      <c r="D361" s="3" t="s">
        <v>63</v>
      </c>
      <c r="E361" s="3" t="s">
        <v>54</v>
      </c>
      <c r="F361" s="8">
        <v>44158</v>
      </c>
      <c r="G361" s="3" t="s">
        <v>56</v>
      </c>
      <c r="H361" s="3" t="s">
        <v>58</v>
      </c>
      <c r="I361" s="10">
        <v>10459.719999999999</v>
      </c>
      <c r="J361" s="3" t="str">
        <f>IFERROR(VLOOKUP(B361, People!A:B, 2, FALSE), "")</f>
        <v/>
      </c>
    </row>
    <row r="362" spans="1:10" ht="13" x14ac:dyDescent="0.15">
      <c r="A362" s="3" t="s">
        <v>269</v>
      </c>
      <c r="B362" s="3" t="s">
        <v>129</v>
      </c>
      <c r="C362" s="3" t="s">
        <v>40</v>
      </c>
      <c r="D362" s="3" t="s">
        <v>63</v>
      </c>
      <c r="E362" s="3" t="s">
        <v>54</v>
      </c>
      <c r="F362" s="8">
        <v>44158</v>
      </c>
      <c r="G362" s="3" t="s">
        <v>56</v>
      </c>
      <c r="H362" s="3" t="s">
        <v>64</v>
      </c>
      <c r="I362" s="10">
        <v>5229.8599999999997</v>
      </c>
      <c r="J362" s="3" t="str">
        <f>IFERROR(VLOOKUP(B362, People!A:B, 2, FALSE), "")</f>
        <v/>
      </c>
    </row>
    <row r="363" spans="1:10" ht="13" x14ac:dyDescent="0.15">
      <c r="A363" s="3" t="s">
        <v>269</v>
      </c>
      <c r="B363" s="3" t="s">
        <v>129</v>
      </c>
      <c r="C363" s="3" t="s">
        <v>40</v>
      </c>
      <c r="D363" s="3" t="s">
        <v>63</v>
      </c>
      <c r="E363" s="3" t="s">
        <v>54</v>
      </c>
      <c r="F363" s="8">
        <v>44158</v>
      </c>
      <c r="G363" s="3" t="s">
        <v>56</v>
      </c>
      <c r="H363" s="3" t="s">
        <v>64</v>
      </c>
      <c r="I363" s="10">
        <v>5229.8599999999997</v>
      </c>
      <c r="J363" s="3" t="str">
        <f>IFERROR(VLOOKUP(B363, People!A:B, 2, FALSE), "")</f>
        <v/>
      </c>
    </row>
    <row r="364" spans="1:10" ht="13" x14ac:dyDescent="0.15">
      <c r="A364" s="3" t="s">
        <v>270</v>
      </c>
      <c r="B364" s="3" t="s">
        <v>238</v>
      </c>
      <c r="C364" s="3" t="s">
        <v>43</v>
      </c>
      <c r="D364" s="3" t="s">
        <v>63</v>
      </c>
      <c r="E364" s="3" t="s">
        <v>75</v>
      </c>
      <c r="F364" s="8">
        <v>44146</v>
      </c>
      <c r="G364" s="3" t="s">
        <v>56</v>
      </c>
      <c r="H364" s="3" t="s">
        <v>58</v>
      </c>
      <c r="I364" s="10">
        <v>2061.84</v>
      </c>
      <c r="J364" s="3" t="str">
        <f>IFERROR(VLOOKUP(B364, People!A:B, 2, FALSE), "")</f>
        <v/>
      </c>
    </row>
    <row r="365" spans="1:10" ht="13" x14ac:dyDescent="0.15">
      <c r="A365" s="3" t="s">
        <v>270</v>
      </c>
      <c r="B365" s="3" t="s">
        <v>238</v>
      </c>
      <c r="C365" s="3" t="s">
        <v>43</v>
      </c>
      <c r="D365" s="3" t="s">
        <v>63</v>
      </c>
      <c r="E365" s="3" t="s">
        <v>75</v>
      </c>
      <c r="F365" s="8">
        <v>44146</v>
      </c>
      <c r="G365" s="3" t="s">
        <v>56</v>
      </c>
      <c r="H365" s="3" t="s">
        <v>58</v>
      </c>
      <c r="I365" s="10">
        <v>6183.82</v>
      </c>
      <c r="J365" s="3" t="str">
        <f>IFERROR(VLOOKUP(B365, People!A:B, 2, FALSE), "")</f>
        <v/>
      </c>
    </row>
    <row r="366" spans="1:10" ht="13" x14ac:dyDescent="0.15">
      <c r="A366" s="3" t="s">
        <v>270</v>
      </c>
      <c r="B366" s="3" t="s">
        <v>238</v>
      </c>
      <c r="C366" s="3" t="s">
        <v>43</v>
      </c>
      <c r="D366" s="3" t="s">
        <v>63</v>
      </c>
      <c r="E366" s="3" t="s">
        <v>75</v>
      </c>
      <c r="F366" s="8">
        <v>44146</v>
      </c>
      <c r="G366" s="3" t="s">
        <v>56</v>
      </c>
      <c r="H366" s="3" t="s">
        <v>60</v>
      </c>
      <c r="I366" s="10">
        <v>3091.06</v>
      </c>
      <c r="J366" s="3" t="str">
        <f>IFERROR(VLOOKUP(B366, People!A:B, 2, FALSE), "")</f>
        <v/>
      </c>
    </row>
    <row r="367" spans="1:10" ht="13" x14ac:dyDescent="0.15">
      <c r="A367" s="3" t="s">
        <v>270</v>
      </c>
      <c r="B367" s="3" t="s">
        <v>238</v>
      </c>
      <c r="C367" s="3" t="s">
        <v>43</v>
      </c>
      <c r="D367" s="3" t="s">
        <v>63</v>
      </c>
      <c r="E367" s="3" t="s">
        <v>75</v>
      </c>
      <c r="F367" s="8">
        <v>44146</v>
      </c>
      <c r="G367" s="3" t="s">
        <v>56</v>
      </c>
      <c r="H367" s="3" t="s">
        <v>64</v>
      </c>
      <c r="I367" s="10">
        <v>2061.84</v>
      </c>
      <c r="J367" s="3" t="str">
        <f>IFERROR(VLOOKUP(B367, People!A:B, 2, FALSE), "")</f>
        <v/>
      </c>
    </row>
    <row r="368" spans="1:10" ht="13" x14ac:dyDescent="0.15">
      <c r="A368" s="3" t="s">
        <v>270</v>
      </c>
      <c r="B368" s="3" t="s">
        <v>238</v>
      </c>
      <c r="C368" s="3" t="s">
        <v>43</v>
      </c>
      <c r="D368" s="3" t="s">
        <v>63</v>
      </c>
      <c r="E368" s="3" t="s">
        <v>75</v>
      </c>
      <c r="F368" s="8">
        <v>44146</v>
      </c>
      <c r="G368" s="3" t="s">
        <v>56</v>
      </c>
      <c r="H368" s="3" t="s">
        <v>64</v>
      </c>
      <c r="I368" s="10">
        <v>1030.92</v>
      </c>
      <c r="J368" s="3" t="str">
        <f>IFERROR(VLOOKUP(B368, People!A:B, 2, FALSE), "")</f>
        <v/>
      </c>
    </row>
    <row r="369" spans="1:10" ht="13" x14ac:dyDescent="0.15">
      <c r="A369" s="3" t="s">
        <v>271</v>
      </c>
      <c r="B369" s="3" t="s">
        <v>252</v>
      </c>
      <c r="C369" s="3" t="s">
        <v>43</v>
      </c>
      <c r="D369" s="3" t="s">
        <v>63</v>
      </c>
      <c r="E369" s="3" t="s">
        <v>75</v>
      </c>
      <c r="F369" s="8">
        <v>44196</v>
      </c>
      <c r="G369" s="3" t="s">
        <v>56</v>
      </c>
      <c r="H369" s="3" t="s">
        <v>58</v>
      </c>
      <c r="I369" s="10">
        <v>2862.72</v>
      </c>
      <c r="J369" s="3" t="str">
        <f>IFERROR(VLOOKUP(B369, People!A:B, 2, FALSE), "")</f>
        <v/>
      </c>
    </row>
    <row r="370" spans="1:10" ht="13" x14ac:dyDescent="0.15">
      <c r="A370" s="3" t="s">
        <v>271</v>
      </c>
      <c r="B370" s="3" t="s">
        <v>252</v>
      </c>
      <c r="C370" s="3" t="s">
        <v>43</v>
      </c>
      <c r="D370" s="3" t="s">
        <v>63</v>
      </c>
      <c r="E370" s="3" t="s">
        <v>75</v>
      </c>
      <c r="F370" s="8">
        <v>44196</v>
      </c>
      <c r="G370" s="3" t="s">
        <v>56</v>
      </c>
      <c r="H370" s="3" t="s">
        <v>60</v>
      </c>
      <c r="I370" s="10">
        <v>2670.17</v>
      </c>
      <c r="J370" s="3" t="str">
        <f>IFERROR(VLOOKUP(B370, People!A:B, 2, FALSE), "")</f>
        <v/>
      </c>
    </row>
    <row r="371" spans="1:10" ht="13" x14ac:dyDescent="0.15">
      <c r="A371" s="3" t="s">
        <v>271</v>
      </c>
      <c r="B371" s="3" t="s">
        <v>252</v>
      </c>
      <c r="C371" s="3" t="s">
        <v>43</v>
      </c>
      <c r="D371" s="3" t="s">
        <v>63</v>
      </c>
      <c r="E371" s="3" t="s">
        <v>75</v>
      </c>
      <c r="F371" s="8">
        <v>44196</v>
      </c>
      <c r="G371" s="3" t="s">
        <v>56</v>
      </c>
      <c r="H371" s="3" t="s">
        <v>64</v>
      </c>
      <c r="I371" s="10">
        <v>1247.33</v>
      </c>
      <c r="J371" s="3" t="str">
        <f>IFERROR(VLOOKUP(B371, People!A:B, 2, FALSE), "")</f>
        <v/>
      </c>
    </row>
    <row r="372" spans="1:10" ht="13" x14ac:dyDescent="0.15">
      <c r="A372" s="3" t="s">
        <v>271</v>
      </c>
      <c r="B372" s="3" t="s">
        <v>252</v>
      </c>
      <c r="C372" s="3" t="s">
        <v>43</v>
      </c>
      <c r="D372" s="3" t="s">
        <v>63</v>
      </c>
      <c r="E372" s="3" t="s">
        <v>75</v>
      </c>
      <c r="F372" s="8">
        <v>44196</v>
      </c>
      <c r="G372" s="3" t="s">
        <v>56</v>
      </c>
      <c r="H372" s="3" t="s">
        <v>64</v>
      </c>
      <c r="I372" s="3">
        <v>674.78</v>
      </c>
      <c r="J372" s="3" t="str">
        <f>IFERROR(VLOOKUP(B372, People!A:B, 2, FALSE), "")</f>
        <v/>
      </c>
    </row>
    <row r="373" spans="1:10" ht="13" x14ac:dyDescent="0.15">
      <c r="A373" s="3" t="s">
        <v>272</v>
      </c>
      <c r="B373" s="3" t="s">
        <v>268</v>
      </c>
      <c r="C373" s="3" t="s">
        <v>43</v>
      </c>
      <c r="D373" s="3" t="s">
        <v>51</v>
      </c>
      <c r="E373" s="3" t="s">
        <v>75</v>
      </c>
      <c r="F373" s="8">
        <v>44211</v>
      </c>
      <c r="G373" s="3" t="s">
        <v>56</v>
      </c>
      <c r="H373" s="3" t="s">
        <v>58</v>
      </c>
      <c r="I373" s="10">
        <v>49484.160000000003</v>
      </c>
      <c r="J373" s="3" t="str">
        <f>IFERROR(VLOOKUP(B373, People!A:B, 2, FALSE), "")</f>
        <v/>
      </c>
    </row>
    <row r="374" spans="1:10" ht="13" x14ac:dyDescent="0.15">
      <c r="A374" s="3" t="s">
        <v>272</v>
      </c>
      <c r="B374" s="3" t="s">
        <v>268</v>
      </c>
      <c r="C374" s="3" t="s">
        <v>43</v>
      </c>
      <c r="D374" s="3" t="s">
        <v>51</v>
      </c>
      <c r="E374" s="3" t="s">
        <v>75</v>
      </c>
      <c r="F374" s="8">
        <v>44211</v>
      </c>
      <c r="G374" s="3" t="s">
        <v>56</v>
      </c>
      <c r="H374" s="3" t="s">
        <v>60</v>
      </c>
      <c r="I374" s="10">
        <v>69277.820000000007</v>
      </c>
      <c r="J374" s="3" t="str">
        <f>IFERROR(VLOOKUP(B374, People!A:B, 2, FALSE), "")</f>
        <v/>
      </c>
    </row>
    <row r="375" spans="1:10" ht="13" x14ac:dyDescent="0.15">
      <c r="A375" s="3" t="s">
        <v>273</v>
      </c>
      <c r="B375" s="3" t="s">
        <v>153</v>
      </c>
      <c r="C375" s="3" t="s">
        <v>43</v>
      </c>
      <c r="D375" s="3" t="s">
        <v>63</v>
      </c>
      <c r="E375" s="3" t="s">
        <v>75</v>
      </c>
      <c r="F375" s="8">
        <v>44185</v>
      </c>
      <c r="G375" s="3" t="s">
        <v>114</v>
      </c>
      <c r="H375" s="3" t="s">
        <v>115</v>
      </c>
      <c r="I375" s="10">
        <v>23174.400000000001</v>
      </c>
      <c r="J375" s="3" t="str">
        <f>IFERROR(VLOOKUP(B375, People!A:B, 2, FALSE), "")</f>
        <v/>
      </c>
    </row>
    <row r="376" spans="1:10" ht="13" x14ac:dyDescent="0.15">
      <c r="A376" s="3" t="s">
        <v>274</v>
      </c>
      <c r="B376" s="3" t="s">
        <v>155</v>
      </c>
      <c r="C376" s="3" t="s">
        <v>43</v>
      </c>
      <c r="D376" s="3" t="s">
        <v>51</v>
      </c>
      <c r="E376" s="3" t="s">
        <v>54</v>
      </c>
      <c r="F376" s="8">
        <v>44181</v>
      </c>
      <c r="G376" s="3" t="s">
        <v>56</v>
      </c>
      <c r="H376" s="3" t="s">
        <v>58</v>
      </c>
      <c r="I376" s="10">
        <v>49071.79</v>
      </c>
      <c r="J376" s="3" t="str">
        <f>IFERROR(VLOOKUP(B376, People!A:B, 2, FALSE), "")</f>
        <v/>
      </c>
    </row>
    <row r="377" spans="1:10" ht="13" x14ac:dyDescent="0.15">
      <c r="A377" s="3" t="s">
        <v>274</v>
      </c>
      <c r="B377" s="3" t="s">
        <v>155</v>
      </c>
      <c r="C377" s="3" t="s">
        <v>43</v>
      </c>
      <c r="D377" s="3" t="s">
        <v>51</v>
      </c>
      <c r="E377" s="3" t="s">
        <v>54</v>
      </c>
      <c r="F377" s="8">
        <v>44181</v>
      </c>
      <c r="G377" s="3" t="s">
        <v>56</v>
      </c>
      <c r="H377" s="3" t="s">
        <v>58</v>
      </c>
      <c r="I377" s="10">
        <v>98143.58</v>
      </c>
      <c r="J377" s="3" t="str">
        <f>IFERROR(VLOOKUP(B377, People!A:B, 2, FALSE), "")</f>
        <v/>
      </c>
    </row>
    <row r="378" spans="1:10" ht="13" x14ac:dyDescent="0.15">
      <c r="A378" s="3" t="s">
        <v>274</v>
      </c>
      <c r="B378" s="3" t="s">
        <v>155</v>
      </c>
      <c r="C378" s="3" t="s">
        <v>43</v>
      </c>
      <c r="D378" s="3" t="s">
        <v>51</v>
      </c>
      <c r="E378" s="3" t="s">
        <v>54</v>
      </c>
      <c r="F378" s="8">
        <v>44181</v>
      </c>
      <c r="G378" s="3" t="s">
        <v>56</v>
      </c>
      <c r="H378" s="3" t="s">
        <v>64</v>
      </c>
      <c r="I378" s="10">
        <v>49071.79</v>
      </c>
      <c r="J378" s="3" t="str">
        <f>IFERROR(VLOOKUP(B378, People!A:B, 2, FALSE), "")</f>
        <v/>
      </c>
    </row>
    <row r="379" spans="1:10" ht="13" x14ac:dyDescent="0.15">
      <c r="A379" s="3" t="s">
        <v>274</v>
      </c>
      <c r="B379" s="3" t="s">
        <v>155</v>
      </c>
      <c r="C379" s="3" t="s">
        <v>43</v>
      </c>
      <c r="D379" s="3" t="s">
        <v>51</v>
      </c>
      <c r="E379" s="3" t="s">
        <v>54</v>
      </c>
      <c r="F379" s="8">
        <v>44181</v>
      </c>
      <c r="G379" s="3" t="s">
        <v>56</v>
      </c>
      <c r="H379" s="3" t="s">
        <v>64</v>
      </c>
      <c r="I379" s="10">
        <v>49071.79</v>
      </c>
      <c r="J379" s="3" t="str">
        <f>IFERROR(VLOOKUP(B379, People!A:B, 2, FALSE), "")</f>
        <v/>
      </c>
    </row>
    <row r="380" spans="1:10" ht="13" x14ac:dyDescent="0.15">
      <c r="A380" s="3" t="s">
        <v>275</v>
      </c>
      <c r="B380" s="3" t="s">
        <v>161</v>
      </c>
      <c r="C380" s="3" t="s">
        <v>43</v>
      </c>
      <c r="D380" s="3" t="s">
        <v>63</v>
      </c>
      <c r="E380" s="3" t="s">
        <v>54</v>
      </c>
      <c r="F380" s="8">
        <v>44209</v>
      </c>
      <c r="G380" s="3" t="s">
        <v>114</v>
      </c>
      <c r="H380" s="3" t="s">
        <v>115</v>
      </c>
      <c r="I380" s="10">
        <v>14484</v>
      </c>
      <c r="J380" s="3" t="str">
        <f>IFERROR(VLOOKUP(B380, People!A:B, 2, FALSE), "")</f>
        <v/>
      </c>
    </row>
    <row r="381" spans="1:10" ht="13" x14ac:dyDescent="0.15">
      <c r="A381" s="3" t="s">
        <v>275</v>
      </c>
      <c r="B381" s="3" t="s">
        <v>161</v>
      </c>
      <c r="C381" s="3" t="s">
        <v>43</v>
      </c>
      <c r="D381" s="3" t="s">
        <v>63</v>
      </c>
      <c r="E381" s="3" t="s">
        <v>54</v>
      </c>
      <c r="F381" s="8">
        <v>44209</v>
      </c>
      <c r="G381" s="3" t="s">
        <v>114</v>
      </c>
      <c r="H381" s="3" t="s">
        <v>115</v>
      </c>
      <c r="I381" s="10">
        <v>6816</v>
      </c>
      <c r="J381" s="3" t="str">
        <f>IFERROR(VLOOKUP(B381, People!A:B, 2, FALSE), "")</f>
        <v/>
      </c>
    </row>
    <row r="382" spans="1:10" ht="13" x14ac:dyDescent="0.15">
      <c r="A382" s="3" t="s">
        <v>276</v>
      </c>
      <c r="B382" s="3" t="s">
        <v>202</v>
      </c>
      <c r="C382" s="3" t="s">
        <v>41</v>
      </c>
      <c r="D382" s="3" t="s">
        <v>63</v>
      </c>
      <c r="E382" s="3" t="s">
        <v>75</v>
      </c>
      <c r="F382" s="8">
        <v>44182</v>
      </c>
      <c r="G382" s="3" t="s">
        <v>56</v>
      </c>
      <c r="H382" s="3" t="s">
        <v>221</v>
      </c>
      <c r="I382" s="3">
        <v>862.22</v>
      </c>
      <c r="J382" s="3" t="str">
        <f>IFERROR(VLOOKUP(B382, People!A:B, 2, FALSE), "")</f>
        <v/>
      </c>
    </row>
    <row r="383" spans="1:10" ht="13" x14ac:dyDescent="0.15">
      <c r="A383" s="3" t="s">
        <v>276</v>
      </c>
      <c r="B383" s="3" t="s">
        <v>202</v>
      </c>
      <c r="C383" s="3" t="s">
        <v>41</v>
      </c>
      <c r="D383" s="3" t="s">
        <v>63</v>
      </c>
      <c r="E383" s="3" t="s">
        <v>75</v>
      </c>
      <c r="F383" s="8">
        <v>44182</v>
      </c>
      <c r="G383" s="3" t="s">
        <v>56</v>
      </c>
      <c r="H383" s="3" t="s">
        <v>58</v>
      </c>
      <c r="I383" s="10">
        <v>1702.3</v>
      </c>
      <c r="J383" s="3" t="str">
        <f>IFERROR(VLOOKUP(B383, People!A:B, 2, FALSE), "")</f>
        <v/>
      </c>
    </row>
    <row r="384" spans="1:10" ht="13" x14ac:dyDescent="0.15">
      <c r="A384" s="3" t="s">
        <v>276</v>
      </c>
      <c r="B384" s="3" t="s">
        <v>202</v>
      </c>
      <c r="C384" s="3" t="s">
        <v>41</v>
      </c>
      <c r="D384" s="3" t="s">
        <v>63</v>
      </c>
      <c r="E384" s="3" t="s">
        <v>75</v>
      </c>
      <c r="F384" s="8">
        <v>44182</v>
      </c>
      <c r="G384" s="3" t="s">
        <v>56</v>
      </c>
      <c r="H384" s="3" t="s">
        <v>60</v>
      </c>
      <c r="I384" s="10">
        <v>2552.59</v>
      </c>
      <c r="J384" s="3" t="str">
        <f>IFERROR(VLOOKUP(B384, People!A:B, 2, FALSE), "")</f>
        <v/>
      </c>
    </row>
    <row r="385" spans="1:10" ht="13" x14ac:dyDescent="0.15">
      <c r="A385" s="3" t="s">
        <v>276</v>
      </c>
      <c r="B385" s="3" t="s">
        <v>202</v>
      </c>
      <c r="C385" s="3" t="s">
        <v>41</v>
      </c>
      <c r="D385" s="3" t="s">
        <v>63</v>
      </c>
      <c r="E385" s="3" t="s">
        <v>75</v>
      </c>
      <c r="F385" s="8">
        <v>44182</v>
      </c>
      <c r="G385" s="3" t="s">
        <v>56</v>
      </c>
      <c r="H385" s="3" t="s">
        <v>64</v>
      </c>
      <c r="I385" s="10">
        <v>1214.95</v>
      </c>
      <c r="J385" s="3" t="str">
        <f>IFERROR(VLOOKUP(B385, People!A:B, 2, FALSE), "")</f>
        <v/>
      </c>
    </row>
    <row r="386" spans="1:10" ht="13" x14ac:dyDescent="0.15">
      <c r="A386" s="3" t="s">
        <v>276</v>
      </c>
      <c r="B386" s="3" t="s">
        <v>202</v>
      </c>
      <c r="C386" s="3" t="s">
        <v>41</v>
      </c>
      <c r="D386" s="3" t="s">
        <v>63</v>
      </c>
      <c r="E386" s="3" t="s">
        <v>75</v>
      </c>
      <c r="F386" s="8">
        <v>44182</v>
      </c>
      <c r="G386" s="3" t="s">
        <v>56</v>
      </c>
      <c r="H386" s="3" t="s">
        <v>64</v>
      </c>
      <c r="I386" s="10">
        <v>1214.95</v>
      </c>
      <c r="J386" s="3" t="str">
        <f>IFERROR(VLOOKUP(B386, People!A:B, 2, FALSE), "")</f>
        <v/>
      </c>
    </row>
    <row r="387" spans="1:10" ht="13" x14ac:dyDescent="0.15">
      <c r="A387" s="3" t="s">
        <v>277</v>
      </c>
      <c r="B387" s="3" t="s">
        <v>278</v>
      </c>
      <c r="C387" s="3" t="s">
        <v>41</v>
      </c>
      <c r="D387" s="3" t="s">
        <v>63</v>
      </c>
      <c r="E387" s="3" t="s">
        <v>75</v>
      </c>
      <c r="F387" s="8">
        <v>44193</v>
      </c>
      <c r="G387" s="3" t="s">
        <v>56</v>
      </c>
      <c r="H387" s="3" t="s">
        <v>60</v>
      </c>
      <c r="I387" s="10">
        <v>2545.7800000000002</v>
      </c>
      <c r="J387" s="3" t="str">
        <f>IFERROR(VLOOKUP(B387, People!A:B, 2, FALSE), "")</f>
        <v/>
      </c>
    </row>
    <row r="388" spans="1:10" ht="13" x14ac:dyDescent="0.15">
      <c r="A388" s="3" t="s">
        <v>277</v>
      </c>
      <c r="B388" s="3" t="s">
        <v>278</v>
      </c>
      <c r="C388" s="3" t="s">
        <v>41</v>
      </c>
      <c r="D388" s="3" t="s">
        <v>63</v>
      </c>
      <c r="E388" s="3" t="s">
        <v>75</v>
      </c>
      <c r="F388" s="8">
        <v>44193</v>
      </c>
      <c r="G388" s="3" t="s">
        <v>56</v>
      </c>
      <c r="H388" s="3" t="s">
        <v>64</v>
      </c>
      <c r="I388" s="3">
        <v>848.59</v>
      </c>
      <c r="J388" s="3" t="str">
        <f>IFERROR(VLOOKUP(B388, People!A:B, 2, FALSE), "")</f>
        <v/>
      </c>
    </row>
    <row r="389" spans="1:10" ht="13" x14ac:dyDescent="0.15">
      <c r="A389" s="3" t="s">
        <v>277</v>
      </c>
      <c r="B389" s="3" t="s">
        <v>278</v>
      </c>
      <c r="C389" s="3" t="s">
        <v>41</v>
      </c>
      <c r="D389" s="3" t="s">
        <v>63</v>
      </c>
      <c r="E389" s="3" t="s">
        <v>75</v>
      </c>
      <c r="F389" s="8">
        <v>44193</v>
      </c>
      <c r="G389" s="3" t="s">
        <v>56</v>
      </c>
      <c r="H389" s="3" t="s">
        <v>64</v>
      </c>
      <c r="I389" s="3">
        <v>848.59</v>
      </c>
      <c r="J389" s="3" t="str">
        <f>IFERROR(VLOOKUP(B389, People!A:B, 2, FALSE), "")</f>
        <v/>
      </c>
    </row>
    <row r="390" spans="1:10" ht="13" x14ac:dyDescent="0.15">
      <c r="A390" s="3" t="s">
        <v>279</v>
      </c>
      <c r="B390" s="3" t="s">
        <v>178</v>
      </c>
      <c r="C390" s="3" t="s">
        <v>43</v>
      </c>
      <c r="D390" s="3" t="s">
        <v>63</v>
      </c>
      <c r="E390" s="3" t="s">
        <v>75</v>
      </c>
      <c r="F390" s="8">
        <v>44217</v>
      </c>
      <c r="G390" s="3" t="s">
        <v>56</v>
      </c>
      <c r="H390" s="3" t="s">
        <v>221</v>
      </c>
      <c r="I390" s="10">
        <v>1514.86</v>
      </c>
      <c r="J390" s="3" t="str">
        <f>IFERROR(VLOOKUP(B390, People!A:B, 2, FALSE), "")</f>
        <v/>
      </c>
    </row>
    <row r="391" spans="1:10" ht="13" x14ac:dyDescent="0.15">
      <c r="A391" s="3" t="s">
        <v>279</v>
      </c>
      <c r="B391" s="3" t="s">
        <v>178</v>
      </c>
      <c r="C391" s="3" t="s">
        <v>43</v>
      </c>
      <c r="D391" s="3" t="s">
        <v>63</v>
      </c>
      <c r="E391" s="3" t="s">
        <v>75</v>
      </c>
      <c r="F391" s="8">
        <v>44217</v>
      </c>
      <c r="G391" s="3" t="s">
        <v>56</v>
      </c>
      <c r="H391" s="3" t="s">
        <v>60</v>
      </c>
      <c r="I391" s="10">
        <v>2670.17</v>
      </c>
      <c r="J391" s="3" t="str">
        <f>IFERROR(VLOOKUP(B391, People!A:B, 2, FALSE), "")</f>
        <v/>
      </c>
    </row>
    <row r="392" spans="1:10" ht="13" x14ac:dyDescent="0.15">
      <c r="A392" s="3" t="s">
        <v>279</v>
      </c>
      <c r="B392" s="3" t="s">
        <v>178</v>
      </c>
      <c r="C392" s="3" t="s">
        <v>43</v>
      </c>
      <c r="D392" s="3" t="s">
        <v>63</v>
      </c>
      <c r="E392" s="3" t="s">
        <v>75</v>
      </c>
      <c r="F392" s="8">
        <v>44217</v>
      </c>
      <c r="G392" s="3" t="s">
        <v>56</v>
      </c>
      <c r="H392" s="3" t="s">
        <v>64</v>
      </c>
      <c r="I392" s="10">
        <v>1438.18</v>
      </c>
      <c r="J392" s="3" t="str">
        <f>IFERROR(VLOOKUP(B392, People!A:B, 2, FALSE), "")</f>
        <v/>
      </c>
    </row>
    <row r="393" spans="1:10" ht="13" x14ac:dyDescent="0.15">
      <c r="A393" s="3" t="s">
        <v>279</v>
      </c>
      <c r="B393" s="3" t="s">
        <v>178</v>
      </c>
      <c r="C393" s="3" t="s">
        <v>43</v>
      </c>
      <c r="D393" s="3" t="s">
        <v>63</v>
      </c>
      <c r="E393" s="3" t="s">
        <v>75</v>
      </c>
      <c r="F393" s="8">
        <v>44217</v>
      </c>
      <c r="G393" s="3" t="s">
        <v>56</v>
      </c>
      <c r="H393" s="3" t="s">
        <v>64</v>
      </c>
      <c r="I393" s="3">
        <v>719.09</v>
      </c>
      <c r="J393" s="3" t="str">
        <f>IFERROR(VLOOKUP(B393, People!A:B, 2, FALSE), "")</f>
        <v/>
      </c>
    </row>
    <row r="394" spans="1:10" ht="13" x14ac:dyDescent="0.15">
      <c r="A394" s="3" t="s">
        <v>280</v>
      </c>
      <c r="B394" s="3" t="s">
        <v>281</v>
      </c>
      <c r="C394" s="3" t="s">
        <v>41</v>
      </c>
      <c r="D394" s="3" t="s">
        <v>63</v>
      </c>
      <c r="E394" s="3" t="s">
        <v>75</v>
      </c>
      <c r="F394" s="8">
        <v>44218</v>
      </c>
      <c r="G394" s="3" t="s">
        <v>56</v>
      </c>
      <c r="H394" s="3" t="s">
        <v>58</v>
      </c>
      <c r="I394" s="10">
        <v>8588.16</v>
      </c>
      <c r="J394" s="3" t="str">
        <f>IFERROR(VLOOKUP(B394, People!A:B, 2, FALSE), "")</f>
        <v/>
      </c>
    </row>
    <row r="395" spans="1:10" ht="13" x14ac:dyDescent="0.15">
      <c r="A395" s="3" t="s">
        <v>282</v>
      </c>
      <c r="B395" s="3" t="s">
        <v>7</v>
      </c>
      <c r="C395" s="3" t="s">
        <v>40</v>
      </c>
      <c r="D395" s="3" t="s">
        <v>51</v>
      </c>
      <c r="E395" s="3" t="s">
        <v>75</v>
      </c>
      <c r="F395" s="8">
        <v>44215</v>
      </c>
      <c r="G395" s="3" t="s">
        <v>56</v>
      </c>
      <c r="H395" s="3" t="s">
        <v>60</v>
      </c>
      <c r="I395" s="10">
        <v>8523.65</v>
      </c>
      <c r="J395" s="3" t="str">
        <f>IFERROR(VLOOKUP(B395, People!A:B, 2, FALSE), "")</f>
        <v>Bob Smith</v>
      </c>
    </row>
    <row r="396" spans="1:10" ht="13" x14ac:dyDescent="0.15">
      <c r="A396" s="3" t="s">
        <v>282</v>
      </c>
      <c r="B396" s="3" t="s">
        <v>7</v>
      </c>
      <c r="C396" s="3" t="s">
        <v>40</v>
      </c>
      <c r="D396" s="3" t="s">
        <v>51</v>
      </c>
      <c r="E396" s="3" t="s">
        <v>75</v>
      </c>
      <c r="F396" s="8">
        <v>44215</v>
      </c>
      <c r="G396" s="3" t="s">
        <v>56</v>
      </c>
      <c r="H396" s="3" t="s">
        <v>64</v>
      </c>
      <c r="I396" s="10">
        <v>3933.99</v>
      </c>
      <c r="J396" s="3" t="str">
        <f>IFERROR(VLOOKUP(B396, People!A:B, 2, FALSE), "")</f>
        <v>Bob Smith</v>
      </c>
    </row>
    <row r="397" spans="1:10" ht="13" x14ac:dyDescent="0.15">
      <c r="A397" s="3" t="s">
        <v>282</v>
      </c>
      <c r="B397" s="3" t="s">
        <v>7</v>
      </c>
      <c r="C397" s="3" t="s">
        <v>40</v>
      </c>
      <c r="D397" s="3" t="s">
        <v>51</v>
      </c>
      <c r="E397" s="3" t="s">
        <v>75</v>
      </c>
      <c r="F397" s="8">
        <v>44215</v>
      </c>
      <c r="G397" s="3" t="s">
        <v>56</v>
      </c>
      <c r="H397" s="3" t="s">
        <v>64</v>
      </c>
      <c r="I397" s="10">
        <v>2602.04</v>
      </c>
      <c r="J397" s="3" t="str">
        <f>IFERROR(VLOOKUP(B397, People!A:B, 2, FALSE), "")</f>
        <v>Bob Smith</v>
      </c>
    </row>
    <row r="398" spans="1:10" ht="13" x14ac:dyDescent="0.15">
      <c r="A398" s="3" t="s">
        <v>283</v>
      </c>
      <c r="B398" s="3" t="s">
        <v>131</v>
      </c>
      <c r="C398" s="3" t="s">
        <v>40</v>
      </c>
      <c r="D398" s="3" t="s">
        <v>63</v>
      </c>
      <c r="E398" s="3" t="s">
        <v>75</v>
      </c>
      <c r="F398" s="8">
        <v>44249</v>
      </c>
      <c r="G398" s="3" t="s">
        <v>56</v>
      </c>
      <c r="H398" s="3" t="s">
        <v>58</v>
      </c>
      <c r="I398" s="10">
        <v>12514.18</v>
      </c>
      <c r="J398" s="3" t="str">
        <f>IFERROR(VLOOKUP(B398, People!A:B, 2, FALSE), "")</f>
        <v/>
      </c>
    </row>
    <row r="399" spans="1:10" ht="13" x14ac:dyDescent="0.15">
      <c r="A399" s="3" t="s">
        <v>283</v>
      </c>
      <c r="B399" s="3" t="s">
        <v>131</v>
      </c>
      <c r="C399" s="3" t="s">
        <v>40</v>
      </c>
      <c r="D399" s="3" t="s">
        <v>63</v>
      </c>
      <c r="E399" s="3" t="s">
        <v>75</v>
      </c>
      <c r="F399" s="8">
        <v>44249</v>
      </c>
      <c r="G399" s="3" t="s">
        <v>56</v>
      </c>
      <c r="H399" s="3" t="s">
        <v>58</v>
      </c>
      <c r="I399" s="10">
        <v>6952.32</v>
      </c>
      <c r="J399" s="3" t="str">
        <f>IFERROR(VLOOKUP(B399, People!A:B, 2, FALSE), "")</f>
        <v/>
      </c>
    </row>
    <row r="400" spans="1:10" ht="13" x14ac:dyDescent="0.15">
      <c r="A400" s="3" t="s">
        <v>283</v>
      </c>
      <c r="B400" s="3" t="s">
        <v>131</v>
      </c>
      <c r="C400" s="3" t="s">
        <v>40</v>
      </c>
      <c r="D400" s="3" t="s">
        <v>63</v>
      </c>
      <c r="E400" s="3" t="s">
        <v>75</v>
      </c>
      <c r="F400" s="8">
        <v>44249</v>
      </c>
      <c r="G400" s="3" t="s">
        <v>56</v>
      </c>
      <c r="H400" s="3" t="s">
        <v>60</v>
      </c>
      <c r="I400" s="10">
        <v>12514.18</v>
      </c>
      <c r="J400" s="3" t="str">
        <f>IFERROR(VLOOKUP(B400, People!A:B, 2, FALSE), "")</f>
        <v/>
      </c>
    </row>
    <row r="401" spans="1:10" ht="13" x14ac:dyDescent="0.15">
      <c r="A401" s="3" t="s">
        <v>283</v>
      </c>
      <c r="B401" s="3" t="s">
        <v>131</v>
      </c>
      <c r="C401" s="3" t="s">
        <v>40</v>
      </c>
      <c r="D401" s="3" t="s">
        <v>63</v>
      </c>
      <c r="E401" s="3" t="s">
        <v>75</v>
      </c>
      <c r="F401" s="8">
        <v>44249</v>
      </c>
      <c r="G401" s="3" t="s">
        <v>56</v>
      </c>
      <c r="H401" s="3" t="s">
        <v>64</v>
      </c>
      <c r="I401" s="10">
        <v>3476.16</v>
      </c>
      <c r="J401" s="3" t="str">
        <f>IFERROR(VLOOKUP(B401, People!A:B, 2, FALSE), "")</f>
        <v/>
      </c>
    </row>
    <row r="402" spans="1:10" ht="13" x14ac:dyDescent="0.15">
      <c r="A402" s="3" t="s">
        <v>283</v>
      </c>
      <c r="B402" s="3" t="s">
        <v>131</v>
      </c>
      <c r="C402" s="3" t="s">
        <v>40</v>
      </c>
      <c r="D402" s="3" t="s">
        <v>63</v>
      </c>
      <c r="E402" s="3" t="s">
        <v>75</v>
      </c>
      <c r="F402" s="8">
        <v>44249</v>
      </c>
      <c r="G402" s="3" t="s">
        <v>56</v>
      </c>
      <c r="H402" s="3" t="s">
        <v>64</v>
      </c>
      <c r="I402" s="10">
        <v>4171.3900000000003</v>
      </c>
      <c r="J402" s="3" t="str">
        <f>IFERROR(VLOOKUP(B402, People!A:B, 2, FALSE), "")</f>
        <v/>
      </c>
    </row>
    <row r="403" spans="1:10" ht="13" x14ac:dyDescent="0.15">
      <c r="A403" s="3" t="s">
        <v>284</v>
      </c>
      <c r="B403" s="3" t="s">
        <v>285</v>
      </c>
      <c r="C403" s="3" t="s">
        <v>41</v>
      </c>
      <c r="D403" s="3" t="s">
        <v>63</v>
      </c>
      <c r="E403" s="3" t="s">
        <v>54</v>
      </c>
      <c r="F403" s="8">
        <v>44224</v>
      </c>
      <c r="G403" s="3" t="s">
        <v>56</v>
      </c>
      <c r="H403" s="3" t="s">
        <v>60</v>
      </c>
      <c r="I403" s="10">
        <v>22428.9</v>
      </c>
      <c r="J403" s="3" t="str">
        <f>IFERROR(VLOOKUP(B403, People!A:B, 2, FALSE), "")</f>
        <v/>
      </c>
    </row>
    <row r="404" spans="1:10" ht="13" x14ac:dyDescent="0.15">
      <c r="A404" s="3" t="s">
        <v>286</v>
      </c>
      <c r="B404" s="3" t="s">
        <v>281</v>
      </c>
      <c r="C404" s="3" t="s">
        <v>41</v>
      </c>
      <c r="D404" s="3" t="s">
        <v>63</v>
      </c>
      <c r="E404" s="3" t="s">
        <v>75</v>
      </c>
      <c r="F404" s="8">
        <v>44340</v>
      </c>
      <c r="G404" s="3" t="s">
        <v>56</v>
      </c>
      <c r="H404" s="3" t="s">
        <v>58</v>
      </c>
      <c r="I404" s="10">
        <v>5740.78</v>
      </c>
      <c r="J404" s="3" t="str">
        <f>IFERROR(VLOOKUP(B404, People!A:B, 2, FALSE), "")</f>
        <v/>
      </c>
    </row>
    <row r="405" spans="1:10" ht="13" x14ac:dyDescent="0.15">
      <c r="A405" s="3" t="s">
        <v>286</v>
      </c>
      <c r="B405" s="3" t="s">
        <v>281</v>
      </c>
      <c r="C405" s="3" t="s">
        <v>41</v>
      </c>
      <c r="D405" s="3" t="s">
        <v>63</v>
      </c>
      <c r="E405" s="3" t="s">
        <v>75</v>
      </c>
      <c r="F405" s="8">
        <v>44340</v>
      </c>
      <c r="G405" s="3" t="s">
        <v>56</v>
      </c>
      <c r="H405" s="3" t="s">
        <v>60</v>
      </c>
      <c r="I405" s="10">
        <v>8538.74</v>
      </c>
      <c r="J405" s="3" t="str">
        <f>IFERROR(VLOOKUP(B405, People!A:B, 2, FALSE), "")</f>
        <v/>
      </c>
    </row>
    <row r="406" spans="1:10" ht="13" x14ac:dyDescent="0.15">
      <c r="A406" s="3" t="s">
        <v>286</v>
      </c>
      <c r="B406" s="3" t="s">
        <v>281</v>
      </c>
      <c r="C406" s="3" t="s">
        <v>41</v>
      </c>
      <c r="D406" s="3" t="s">
        <v>63</v>
      </c>
      <c r="E406" s="3" t="s">
        <v>75</v>
      </c>
      <c r="F406" s="8">
        <v>44340</v>
      </c>
      <c r="G406" s="3" t="s">
        <v>56</v>
      </c>
      <c r="H406" s="3" t="s">
        <v>64</v>
      </c>
      <c r="I406" s="10">
        <v>2845.68</v>
      </c>
      <c r="J406" s="3" t="str">
        <f>IFERROR(VLOOKUP(B406, People!A:B, 2, FALSE), "")</f>
        <v/>
      </c>
    </row>
    <row r="407" spans="1:10" ht="13" x14ac:dyDescent="0.15">
      <c r="A407" s="3" t="s">
        <v>286</v>
      </c>
      <c r="B407" s="3" t="s">
        <v>281</v>
      </c>
      <c r="C407" s="3" t="s">
        <v>41</v>
      </c>
      <c r="D407" s="3" t="s">
        <v>63</v>
      </c>
      <c r="E407" s="3" t="s">
        <v>75</v>
      </c>
      <c r="F407" s="8">
        <v>44340</v>
      </c>
      <c r="G407" s="3" t="s">
        <v>56</v>
      </c>
      <c r="H407" s="3" t="s">
        <v>64</v>
      </c>
      <c r="I407" s="10">
        <v>2941.1</v>
      </c>
      <c r="J407" s="3" t="str">
        <f>IFERROR(VLOOKUP(B407, People!A:B, 2, FALSE), "")</f>
        <v/>
      </c>
    </row>
    <row r="408" spans="1:10" ht="13" x14ac:dyDescent="0.15">
      <c r="A408" s="3" t="s">
        <v>287</v>
      </c>
      <c r="B408" s="3" t="s">
        <v>202</v>
      </c>
      <c r="C408" s="3" t="s">
        <v>41</v>
      </c>
      <c r="D408" s="3" t="s">
        <v>63</v>
      </c>
      <c r="E408" s="3" t="s">
        <v>75</v>
      </c>
      <c r="F408" s="8">
        <v>44242</v>
      </c>
      <c r="G408" s="3" t="s">
        <v>56</v>
      </c>
      <c r="H408" s="3" t="s">
        <v>58</v>
      </c>
      <c r="I408" s="10">
        <v>1329.12</v>
      </c>
      <c r="J408" s="3" t="str">
        <f>IFERROR(VLOOKUP(B408, People!A:B, 2, FALSE), "")</f>
        <v/>
      </c>
    </row>
    <row r="409" spans="1:10" ht="13" x14ac:dyDescent="0.15">
      <c r="A409" s="3" t="s">
        <v>287</v>
      </c>
      <c r="B409" s="3" t="s">
        <v>202</v>
      </c>
      <c r="C409" s="3" t="s">
        <v>41</v>
      </c>
      <c r="D409" s="3" t="s">
        <v>63</v>
      </c>
      <c r="E409" s="3" t="s">
        <v>75</v>
      </c>
      <c r="F409" s="8">
        <v>44242</v>
      </c>
      <c r="G409" s="3" t="s">
        <v>56</v>
      </c>
      <c r="H409" s="3" t="s">
        <v>58</v>
      </c>
      <c r="I409" s="10">
        <v>3987.36</v>
      </c>
      <c r="J409" s="3" t="str">
        <f>IFERROR(VLOOKUP(B409, People!A:B, 2, FALSE), "")</f>
        <v/>
      </c>
    </row>
    <row r="410" spans="1:10" ht="13" x14ac:dyDescent="0.15">
      <c r="A410" s="3" t="s">
        <v>287</v>
      </c>
      <c r="B410" s="3" t="s">
        <v>202</v>
      </c>
      <c r="C410" s="3" t="s">
        <v>41</v>
      </c>
      <c r="D410" s="3" t="s">
        <v>63</v>
      </c>
      <c r="E410" s="3" t="s">
        <v>75</v>
      </c>
      <c r="F410" s="8">
        <v>44242</v>
      </c>
      <c r="G410" s="3" t="s">
        <v>56</v>
      </c>
      <c r="H410" s="3" t="s">
        <v>60</v>
      </c>
      <c r="I410" s="10">
        <v>3987.36</v>
      </c>
      <c r="J410" s="3" t="str">
        <f>IFERROR(VLOOKUP(B410, People!A:B, 2, FALSE), "")</f>
        <v/>
      </c>
    </row>
    <row r="411" spans="1:10" ht="13" x14ac:dyDescent="0.15">
      <c r="A411" s="3" t="s">
        <v>287</v>
      </c>
      <c r="B411" s="3" t="s">
        <v>202</v>
      </c>
      <c r="C411" s="3" t="s">
        <v>41</v>
      </c>
      <c r="D411" s="3" t="s">
        <v>63</v>
      </c>
      <c r="E411" s="3" t="s">
        <v>75</v>
      </c>
      <c r="F411" s="8">
        <v>44242</v>
      </c>
      <c r="G411" s="3" t="s">
        <v>56</v>
      </c>
      <c r="H411" s="3" t="s">
        <v>64</v>
      </c>
      <c r="I411" s="10">
        <v>1329.12</v>
      </c>
      <c r="J411" s="3" t="str">
        <f>IFERROR(VLOOKUP(B411, People!A:B, 2, FALSE), "")</f>
        <v/>
      </c>
    </row>
    <row r="412" spans="1:10" ht="13" x14ac:dyDescent="0.15">
      <c r="A412" s="3" t="s">
        <v>287</v>
      </c>
      <c r="B412" s="3" t="s">
        <v>202</v>
      </c>
      <c r="C412" s="3" t="s">
        <v>41</v>
      </c>
      <c r="D412" s="3" t="s">
        <v>63</v>
      </c>
      <c r="E412" s="3" t="s">
        <v>75</v>
      </c>
      <c r="F412" s="8">
        <v>44242</v>
      </c>
      <c r="G412" s="3" t="s">
        <v>56</v>
      </c>
      <c r="H412" s="3" t="s">
        <v>64</v>
      </c>
      <c r="I412" s="10">
        <v>1329.12</v>
      </c>
      <c r="J412" s="3" t="str">
        <f>IFERROR(VLOOKUP(B412, People!A:B, 2, FALSE), "")</f>
        <v/>
      </c>
    </row>
    <row r="413" spans="1:10" ht="13" x14ac:dyDescent="0.15">
      <c r="A413" s="3" t="s">
        <v>288</v>
      </c>
      <c r="B413" s="3" t="s">
        <v>258</v>
      </c>
      <c r="C413" s="3" t="s">
        <v>43</v>
      </c>
      <c r="D413" s="3" t="s">
        <v>63</v>
      </c>
      <c r="E413" s="3" t="s">
        <v>75</v>
      </c>
      <c r="F413" s="8">
        <v>44278</v>
      </c>
      <c r="G413" s="3" t="s">
        <v>56</v>
      </c>
      <c r="H413" s="3" t="s">
        <v>58</v>
      </c>
      <c r="I413" s="10">
        <v>9733.25</v>
      </c>
      <c r="J413" s="3" t="str">
        <f>IFERROR(VLOOKUP(B413, People!A:B, 2, FALSE), "")</f>
        <v/>
      </c>
    </row>
    <row r="414" spans="1:10" ht="13" x14ac:dyDescent="0.15">
      <c r="A414" s="3" t="s">
        <v>288</v>
      </c>
      <c r="B414" s="3" t="s">
        <v>258</v>
      </c>
      <c r="C414" s="3" t="s">
        <v>43</v>
      </c>
      <c r="D414" s="3" t="s">
        <v>63</v>
      </c>
      <c r="E414" s="3" t="s">
        <v>75</v>
      </c>
      <c r="F414" s="8">
        <v>44278</v>
      </c>
      <c r="G414" s="3" t="s">
        <v>56</v>
      </c>
      <c r="H414" s="3" t="s">
        <v>58</v>
      </c>
      <c r="I414" s="10">
        <v>4866.62</v>
      </c>
      <c r="J414" s="3" t="str">
        <f>IFERROR(VLOOKUP(B414, People!A:B, 2, FALSE), "")</f>
        <v/>
      </c>
    </row>
    <row r="415" spans="1:10" ht="13" x14ac:dyDescent="0.15">
      <c r="A415" s="3" t="s">
        <v>288</v>
      </c>
      <c r="B415" s="3" t="s">
        <v>258</v>
      </c>
      <c r="C415" s="3" t="s">
        <v>43</v>
      </c>
      <c r="D415" s="3" t="s">
        <v>63</v>
      </c>
      <c r="E415" s="3" t="s">
        <v>75</v>
      </c>
      <c r="F415" s="8">
        <v>44278</v>
      </c>
      <c r="G415" s="3" t="s">
        <v>56</v>
      </c>
      <c r="H415" s="3" t="s">
        <v>60</v>
      </c>
      <c r="I415" s="10">
        <v>3435.26</v>
      </c>
      <c r="J415" s="3" t="str">
        <f>IFERROR(VLOOKUP(B415, People!A:B, 2, FALSE), "")</f>
        <v/>
      </c>
    </row>
    <row r="416" spans="1:10" ht="13" x14ac:dyDescent="0.15">
      <c r="A416" s="3" t="s">
        <v>288</v>
      </c>
      <c r="B416" s="3" t="s">
        <v>258</v>
      </c>
      <c r="C416" s="3" t="s">
        <v>43</v>
      </c>
      <c r="D416" s="3" t="s">
        <v>63</v>
      </c>
      <c r="E416" s="3" t="s">
        <v>75</v>
      </c>
      <c r="F416" s="8">
        <v>44278</v>
      </c>
      <c r="G416" s="3" t="s">
        <v>56</v>
      </c>
      <c r="H416" s="3" t="s">
        <v>64</v>
      </c>
      <c r="I416" s="10">
        <v>1145.0899999999999</v>
      </c>
      <c r="J416" s="3" t="str">
        <f>IFERROR(VLOOKUP(B416, People!A:B, 2, FALSE), "")</f>
        <v/>
      </c>
    </row>
    <row r="417" spans="1:10" ht="13" x14ac:dyDescent="0.15">
      <c r="A417" s="3" t="s">
        <v>288</v>
      </c>
      <c r="B417" s="3" t="s">
        <v>258</v>
      </c>
      <c r="C417" s="3" t="s">
        <v>43</v>
      </c>
      <c r="D417" s="3" t="s">
        <v>63</v>
      </c>
      <c r="E417" s="3" t="s">
        <v>75</v>
      </c>
      <c r="F417" s="8">
        <v>44278</v>
      </c>
      <c r="G417" s="3" t="s">
        <v>56</v>
      </c>
      <c r="H417" s="3" t="s">
        <v>64</v>
      </c>
      <c r="I417" s="10">
        <v>1145.0899999999999</v>
      </c>
      <c r="J417" s="3" t="str">
        <f>IFERROR(VLOOKUP(B417, People!A:B, 2, FALSE), "")</f>
        <v/>
      </c>
    </row>
    <row r="418" spans="1:10" ht="13" x14ac:dyDescent="0.15">
      <c r="A418" s="3" t="s">
        <v>289</v>
      </c>
      <c r="B418" s="3" t="s">
        <v>290</v>
      </c>
      <c r="C418" s="3" t="s">
        <v>41</v>
      </c>
      <c r="D418" s="3" t="s">
        <v>63</v>
      </c>
      <c r="E418" s="3" t="s">
        <v>54</v>
      </c>
      <c r="F418" s="8">
        <v>44335</v>
      </c>
      <c r="G418" s="3" t="s">
        <v>56</v>
      </c>
      <c r="H418" s="3" t="s">
        <v>58</v>
      </c>
      <c r="I418" s="10">
        <v>1241.08</v>
      </c>
      <c r="J418" s="3" t="str">
        <f>IFERROR(VLOOKUP(B418, People!A:B, 2, FALSE), "")</f>
        <v/>
      </c>
    </row>
    <row r="419" spans="1:10" ht="13" x14ac:dyDescent="0.15">
      <c r="A419" s="3" t="s">
        <v>289</v>
      </c>
      <c r="B419" s="3" t="s">
        <v>290</v>
      </c>
      <c r="C419" s="3" t="s">
        <v>41</v>
      </c>
      <c r="D419" s="3" t="s">
        <v>63</v>
      </c>
      <c r="E419" s="3" t="s">
        <v>54</v>
      </c>
      <c r="F419" s="8">
        <v>44335</v>
      </c>
      <c r="G419" s="3" t="s">
        <v>56</v>
      </c>
      <c r="H419" s="3" t="s">
        <v>60</v>
      </c>
      <c r="I419" s="10">
        <v>1860.2</v>
      </c>
      <c r="J419" s="3" t="str">
        <f>IFERROR(VLOOKUP(B419, People!A:B, 2, FALSE), "")</f>
        <v/>
      </c>
    </row>
    <row r="420" spans="1:10" ht="13" x14ac:dyDescent="0.15">
      <c r="A420" s="3" t="s">
        <v>289</v>
      </c>
      <c r="B420" s="3" t="s">
        <v>290</v>
      </c>
      <c r="C420" s="3" t="s">
        <v>41</v>
      </c>
      <c r="D420" s="3" t="s">
        <v>63</v>
      </c>
      <c r="E420" s="3" t="s">
        <v>54</v>
      </c>
      <c r="F420" s="8">
        <v>44335</v>
      </c>
      <c r="G420" s="3" t="s">
        <v>56</v>
      </c>
      <c r="H420" s="3" t="s">
        <v>64</v>
      </c>
      <c r="I420" s="3">
        <v>620.54</v>
      </c>
      <c r="J420" s="3" t="str">
        <f>IFERROR(VLOOKUP(B420, People!A:B, 2, FALSE), "")</f>
        <v/>
      </c>
    </row>
    <row r="421" spans="1:10" ht="13" x14ac:dyDescent="0.15">
      <c r="A421" s="3" t="s">
        <v>289</v>
      </c>
      <c r="B421" s="3" t="s">
        <v>290</v>
      </c>
      <c r="C421" s="3" t="s">
        <v>41</v>
      </c>
      <c r="D421" s="3" t="s">
        <v>63</v>
      </c>
      <c r="E421" s="3" t="s">
        <v>54</v>
      </c>
      <c r="F421" s="8">
        <v>44335</v>
      </c>
      <c r="G421" s="3" t="s">
        <v>56</v>
      </c>
      <c r="H421" s="3" t="s">
        <v>64</v>
      </c>
      <c r="I421" s="3">
        <v>620.54</v>
      </c>
      <c r="J421" s="3" t="str">
        <f>IFERROR(VLOOKUP(B421, People!A:B, 2, FALSE), "")</f>
        <v/>
      </c>
    </row>
    <row r="422" spans="1:10" ht="13" x14ac:dyDescent="0.15">
      <c r="A422" s="3" t="s">
        <v>291</v>
      </c>
      <c r="B422" s="3" t="s">
        <v>292</v>
      </c>
      <c r="C422" s="3" t="s">
        <v>41</v>
      </c>
      <c r="D422" s="3" t="s">
        <v>63</v>
      </c>
      <c r="E422" s="3" t="s">
        <v>75</v>
      </c>
      <c r="F422" s="8">
        <v>44251</v>
      </c>
      <c r="G422" s="3" t="s">
        <v>56</v>
      </c>
      <c r="H422" s="3" t="s">
        <v>221</v>
      </c>
      <c r="I422" s="10">
        <v>2281.66</v>
      </c>
      <c r="J422" s="3" t="str">
        <f>IFERROR(VLOOKUP(B422, People!A:B, 2, FALSE), "")</f>
        <v/>
      </c>
    </row>
    <row r="423" spans="1:10" ht="13" x14ac:dyDescent="0.15">
      <c r="A423" s="3" t="s">
        <v>291</v>
      </c>
      <c r="B423" s="3" t="s">
        <v>292</v>
      </c>
      <c r="C423" s="3" t="s">
        <v>41</v>
      </c>
      <c r="D423" s="3" t="s">
        <v>63</v>
      </c>
      <c r="E423" s="3" t="s">
        <v>75</v>
      </c>
      <c r="F423" s="8">
        <v>44251</v>
      </c>
      <c r="G423" s="3" t="s">
        <v>56</v>
      </c>
      <c r="H423" s="3" t="s">
        <v>58</v>
      </c>
      <c r="I423" s="10">
        <v>4561.6099999999997</v>
      </c>
      <c r="J423" s="3" t="str">
        <f>IFERROR(VLOOKUP(B423, People!A:B, 2, FALSE), "")</f>
        <v/>
      </c>
    </row>
    <row r="424" spans="1:10" ht="13" x14ac:dyDescent="0.15">
      <c r="A424" s="3" t="s">
        <v>291</v>
      </c>
      <c r="B424" s="3" t="s">
        <v>292</v>
      </c>
      <c r="C424" s="3" t="s">
        <v>41</v>
      </c>
      <c r="D424" s="3" t="s">
        <v>63</v>
      </c>
      <c r="E424" s="3" t="s">
        <v>75</v>
      </c>
      <c r="F424" s="8">
        <v>44251</v>
      </c>
      <c r="G424" s="3" t="s">
        <v>56</v>
      </c>
      <c r="H424" s="3" t="s">
        <v>60</v>
      </c>
      <c r="I424" s="10">
        <v>6843.26</v>
      </c>
      <c r="J424" s="3" t="str">
        <f>IFERROR(VLOOKUP(B424, People!A:B, 2, FALSE), "")</f>
        <v/>
      </c>
    </row>
    <row r="425" spans="1:10" ht="13" x14ac:dyDescent="0.15">
      <c r="A425" s="3" t="s">
        <v>291</v>
      </c>
      <c r="B425" s="3" t="s">
        <v>292</v>
      </c>
      <c r="C425" s="3" t="s">
        <v>41</v>
      </c>
      <c r="D425" s="3" t="s">
        <v>63</v>
      </c>
      <c r="E425" s="3" t="s">
        <v>75</v>
      </c>
      <c r="F425" s="8">
        <v>44251</v>
      </c>
      <c r="G425" s="3" t="s">
        <v>56</v>
      </c>
      <c r="H425" s="3" t="s">
        <v>64</v>
      </c>
      <c r="I425" s="10">
        <v>2281.66</v>
      </c>
      <c r="J425" s="3" t="str">
        <f>IFERROR(VLOOKUP(B425, People!A:B, 2, FALSE), "")</f>
        <v/>
      </c>
    </row>
    <row r="426" spans="1:10" ht="13" x14ac:dyDescent="0.15">
      <c r="A426" s="3" t="s">
        <v>291</v>
      </c>
      <c r="B426" s="3" t="s">
        <v>292</v>
      </c>
      <c r="C426" s="3" t="s">
        <v>41</v>
      </c>
      <c r="D426" s="3" t="s">
        <v>63</v>
      </c>
      <c r="E426" s="3" t="s">
        <v>75</v>
      </c>
      <c r="F426" s="8">
        <v>44251</v>
      </c>
      <c r="G426" s="3" t="s">
        <v>56</v>
      </c>
      <c r="H426" s="3" t="s">
        <v>64</v>
      </c>
      <c r="I426" s="10">
        <v>2281.66</v>
      </c>
      <c r="J426" s="3" t="str">
        <f>IFERROR(VLOOKUP(B426, People!A:B, 2, FALSE), "")</f>
        <v/>
      </c>
    </row>
    <row r="427" spans="1:10" ht="13" x14ac:dyDescent="0.15">
      <c r="A427" s="3" t="s">
        <v>293</v>
      </c>
      <c r="B427" s="3" t="s">
        <v>294</v>
      </c>
      <c r="C427" s="3" t="s">
        <v>41</v>
      </c>
      <c r="D427" s="3" t="s">
        <v>63</v>
      </c>
      <c r="E427" s="3" t="s">
        <v>54</v>
      </c>
      <c r="F427" s="8">
        <v>44340</v>
      </c>
      <c r="G427" s="3" t="s">
        <v>56</v>
      </c>
      <c r="H427" s="3" t="s">
        <v>58</v>
      </c>
      <c r="I427" s="10">
        <v>11560.22</v>
      </c>
      <c r="J427" s="3" t="str">
        <f>IFERROR(VLOOKUP(B427, People!A:B, 2, FALSE), "")</f>
        <v/>
      </c>
    </row>
    <row r="428" spans="1:10" ht="13" x14ac:dyDescent="0.15">
      <c r="A428" s="3" t="s">
        <v>293</v>
      </c>
      <c r="B428" s="3" t="s">
        <v>294</v>
      </c>
      <c r="C428" s="3" t="s">
        <v>41</v>
      </c>
      <c r="D428" s="3" t="s">
        <v>63</v>
      </c>
      <c r="E428" s="3" t="s">
        <v>54</v>
      </c>
      <c r="F428" s="8">
        <v>44340</v>
      </c>
      <c r="G428" s="3" t="s">
        <v>56</v>
      </c>
      <c r="H428" s="3" t="s">
        <v>64</v>
      </c>
      <c r="I428" s="10">
        <v>5779.4</v>
      </c>
      <c r="J428" s="3" t="str">
        <f>IFERROR(VLOOKUP(B428, People!A:B, 2, FALSE), "")</f>
        <v/>
      </c>
    </row>
    <row r="429" spans="1:10" ht="13" x14ac:dyDescent="0.15">
      <c r="A429" s="3" t="s">
        <v>293</v>
      </c>
      <c r="B429" s="3" t="s">
        <v>294</v>
      </c>
      <c r="C429" s="3" t="s">
        <v>41</v>
      </c>
      <c r="D429" s="3" t="s">
        <v>63</v>
      </c>
      <c r="E429" s="3" t="s">
        <v>54</v>
      </c>
      <c r="F429" s="8">
        <v>44340</v>
      </c>
      <c r="G429" s="3" t="s">
        <v>56</v>
      </c>
      <c r="H429" s="3" t="s">
        <v>64</v>
      </c>
      <c r="I429" s="10">
        <v>5779.4</v>
      </c>
      <c r="J429" s="3" t="str">
        <f>IFERROR(VLOOKUP(B429, People!A:B, 2, FALSE), "")</f>
        <v/>
      </c>
    </row>
    <row r="430" spans="1:10" ht="13" x14ac:dyDescent="0.15">
      <c r="A430" s="3" t="s">
        <v>295</v>
      </c>
      <c r="B430" s="3" t="s">
        <v>296</v>
      </c>
      <c r="C430" s="3" t="s">
        <v>41</v>
      </c>
      <c r="D430" s="3" t="s">
        <v>63</v>
      </c>
      <c r="E430" s="3" t="s">
        <v>54</v>
      </c>
      <c r="F430" s="8">
        <v>44581</v>
      </c>
      <c r="G430" s="3" t="s">
        <v>56</v>
      </c>
      <c r="H430" s="3" t="s">
        <v>64</v>
      </c>
      <c r="I430" s="10">
        <v>17004.5</v>
      </c>
      <c r="J430" s="3" t="str">
        <f>IFERROR(VLOOKUP(B430, People!A:B, 2, FALSE), "")</f>
        <v/>
      </c>
    </row>
    <row r="431" spans="1:10" ht="13" x14ac:dyDescent="0.15">
      <c r="A431" s="3" t="s">
        <v>295</v>
      </c>
      <c r="B431" s="3" t="s">
        <v>296</v>
      </c>
      <c r="C431" s="3" t="s">
        <v>41</v>
      </c>
      <c r="D431" s="3" t="s">
        <v>63</v>
      </c>
      <c r="E431" s="3" t="s">
        <v>54</v>
      </c>
      <c r="F431" s="8">
        <v>44581</v>
      </c>
      <c r="G431" s="3" t="s">
        <v>56</v>
      </c>
      <c r="H431" s="3" t="s">
        <v>64</v>
      </c>
      <c r="I431" s="10">
        <v>17004.5</v>
      </c>
      <c r="J431" s="3" t="str">
        <f>IFERROR(VLOOKUP(B431, People!A:B, 2, FALSE), "")</f>
        <v/>
      </c>
    </row>
    <row r="432" spans="1:10" ht="13" x14ac:dyDescent="0.15">
      <c r="A432" s="3" t="s">
        <v>297</v>
      </c>
      <c r="B432" s="3" t="s">
        <v>227</v>
      </c>
      <c r="C432" s="3" t="s">
        <v>41</v>
      </c>
      <c r="D432" s="3" t="s">
        <v>63</v>
      </c>
      <c r="E432" s="3" t="s">
        <v>54</v>
      </c>
      <c r="F432" s="8">
        <v>44302</v>
      </c>
      <c r="G432" s="3" t="s">
        <v>56</v>
      </c>
      <c r="H432" s="3" t="s">
        <v>58</v>
      </c>
      <c r="I432" s="10">
        <v>6645.6</v>
      </c>
      <c r="J432" s="3" t="str">
        <f>IFERROR(VLOOKUP(B432, People!A:B, 2, FALSE), "")</f>
        <v/>
      </c>
    </row>
    <row r="433" spans="1:10" ht="13" x14ac:dyDescent="0.15">
      <c r="A433" s="3" t="s">
        <v>297</v>
      </c>
      <c r="B433" s="3" t="s">
        <v>227</v>
      </c>
      <c r="C433" s="3" t="s">
        <v>41</v>
      </c>
      <c r="D433" s="3" t="s">
        <v>63</v>
      </c>
      <c r="E433" s="3" t="s">
        <v>54</v>
      </c>
      <c r="F433" s="8">
        <v>44302</v>
      </c>
      <c r="G433" s="3" t="s">
        <v>56</v>
      </c>
      <c r="H433" s="3" t="s">
        <v>58</v>
      </c>
      <c r="I433" s="10">
        <v>13291.2</v>
      </c>
      <c r="J433" s="3" t="str">
        <f>IFERROR(VLOOKUP(B433, People!A:B, 2, FALSE), "")</f>
        <v/>
      </c>
    </row>
    <row r="434" spans="1:10" ht="13" x14ac:dyDescent="0.15">
      <c r="A434" s="3" t="s">
        <v>297</v>
      </c>
      <c r="B434" s="3" t="s">
        <v>227</v>
      </c>
      <c r="C434" s="3" t="s">
        <v>41</v>
      </c>
      <c r="D434" s="3" t="s">
        <v>63</v>
      </c>
      <c r="E434" s="3" t="s">
        <v>54</v>
      </c>
      <c r="F434" s="8">
        <v>44302</v>
      </c>
      <c r="G434" s="3" t="s">
        <v>56</v>
      </c>
      <c r="H434" s="3" t="s">
        <v>60</v>
      </c>
      <c r="I434" s="10">
        <v>19936.8</v>
      </c>
      <c r="J434" s="3" t="str">
        <f>IFERROR(VLOOKUP(B434, People!A:B, 2, FALSE), "")</f>
        <v/>
      </c>
    </row>
    <row r="435" spans="1:10" ht="13" x14ac:dyDescent="0.15">
      <c r="A435" s="3" t="s">
        <v>297</v>
      </c>
      <c r="B435" s="3" t="s">
        <v>227</v>
      </c>
      <c r="C435" s="3" t="s">
        <v>41</v>
      </c>
      <c r="D435" s="3" t="s">
        <v>63</v>
      </c>
      <c r="E435" s="3" t="s">
        <v>54</v>
      </c>
      <c r="F435" s="8">
        <v>44302</v>
      </c>
      <c r="G435" s="3" t="s">
        <v>56</v>
      </c>
      <c r="H435" s="3" t="s">
        <v>64</v>
      </c>
      <c r="I435" s="10">
        <v>6645.6</v>
      </c>
      <c r="J435" s="3" t="str">
        <f>IFERROR(VLOOKUP(B435, People!A:B, 2, FALSE), "")</f>
        <v/>
      </c>
    </row>
    <row r="436" spans="1:10" ht="13" x14ac:dyDescent="0.15">
      <c r="A436" s="3" t="s">
        <v>297</v>
      </c>
      <c r="B436" s="3" t="s">
        <v>227</v>
      </c>
      <c r="C436" s="3" t="s">
        <v>41</v>
      </c>
      <c r="D436" s="3" t="s">
        <v>63</v>
      </c>
      <c r="E436" s="3" t="s">
        <v>54</v>
      </c>
      <c r="F436" s="8">
        <v>44302</v>
      </c>
      <c r="G436" s="3" t="s">
        <v>56</v>
      </c>
      <c r="H436" s="3" t="s">
        <v>64</v>
      </c>
      <c r="I436" s="10">
        <v>6645.6</v>
      </c>
      <c r="J436" s="3" t="str">
        <f>IFERROR(VLOOKUP(B436, People!A:B, 2, FALSE), "")</f>
        <v/>
      </c>
    </row>
  </sheetData>
  <autoFilter ref="A1:I436" xr:uid="{00000000-0009-0000-0000-000001000000}"/>
  <dataValidations count="7">
    <dataValidation type="list" allowBlank="1" showErrorMessage="1" sqref="C2:C436" xr:uid="{00000000-0002-0000-0100-000000000000}">
      <formula1>"AMER,EMEA,APAC"</formula1>
    </dataValidation>
    <dataValidation type="list" allowBlank="1" showErrorMessage="1" sqref="E2:E436" xr:uid="{00000000-0002-0000-0100-000001000000}">
      <formula1>"New Business,Upsell"</formula1>
    </dataValidation>
    <dataValidation type="list" allowBlank="1" showErrorMessage="1" sqref="G2:G436" xr:uid="{00000000-0002-0000-0100-000002000000}">
      <formula1>"Workforce,CIAM"</formula1>
    </dataValidation>
    <dataValidation type="list" allowBlank="1" showErrorMessage="1" sqref="D2:D436" xr:uid="{00000000-0002-0000-0100-000003000000}">
      <formula1>"Enterprise,Corporate"</formula1>
    </dataValidation>
    <dataValidation type="list" allowBlank="1" showErrorMessage="1" sqref="B2:B436" xr:uid="{00000000-0002-0000-0100-000004000000}">
      <formula1>"0054z00000AAVA1E0V,0054z00000AAFA1E0p,0051Y00000QAVBgScR,0054z00000AAJA0qTj,0054z00000AAFA1E0i,0054z00000AAVA1UwC,0054z00000AAVA1UwD,0054z00000AABA18jp,0054z00000AAVA1E0S,0054z00000AAE97J5t,0054z00000AAVA1E1Q,0054z00000AAS9Iy8C,0054z00000AAPAKOSd,0054z000"&amp;"00AAFA1E0o,0054z00000AAQ98tcW,0054z00000AAVA1E0X,0051Y00000QARBgp8W,0054z00000AADAKaw6,0054z00000AAFA1E1h,0054z00000AAK9KyWm,0054z00000AAPAKHPh,0054z00000AAVA1E1U,0051Y00000QARBgp8N,0054z00000AAQ985lY,0051Y00000QARBei3T,0054z00000AAFA1E0d,0054z00000AAU9yY"&amp;"6Y,0051Y00000QANBgSQz,0054z00000AAVA1E1X,0054z00000AAY98dRX,0054z00000AA29aDWI,0054z00000AAFA1E15,0054z00000AAFA1E0f,0054z00000AAFA1E0k,0054z00000AAQ9zzrE,0054z00000AAPAKIS3,0054z00000AAFA1Iw7,0054z00000AAQ95znP,0054z00000AALAIgV3,0054z00000AAVA1E1W,0054z"&amp;"00000AAFA1E0n,0054z00000AAVA1E1Y,0054z00000AAFA1E0m,0054z00000AAA998l9,0054z00000AAFA1E0g,0054z00000AAFA1E0h,0054z00000AAFA1E16,0054z00000AAVA1UwE,0054z00000AAVA1E1V,0054z00000AAFA1E1c,0054z00000AAHAJThl,0054z00000AAFA1E0j,0054z00000AAVA1E1Z,0054z00000AAF"&amp;"A1Iw8,0054z00000AAVA1UwM,0054z00000AAFA1E0l,0054z00000AAVA1UwF,0054z00000AAVA1E0T,0051Y00000QARBgp8X,0054z00000AAFA1Iw9,0054z00000AAVA1E0U"</formula1>
    </dataValidation>
    <dataValidation type="list" allowBlank="1" showErrorMessage="1" sqref="A2:A436" xr:uid="{00000000-0002-0000-0100-000005000000}">
      <formula1>"0061Y00000QA0nIxRU,0061Y00000QA0nIxXH,0061Y00000QA0nJ1PR,0061Y00000QA0nJ6NX,0061Y00000QA0nUpUC,0061Y00000QA0nVfKB,0061Y00000QA0nVxXT,0061Y00000QA0nW0HE,0061Y00000QA0oCbLE,0061Y00000QA0pM8QX,0061Y00000QA0pMhJF,0061Y00000QA0pNtOZ,0061Y00000QA0pO1FD,0061Y000"&amp;"00QA0pO1JF,0061Y00000QA0pO5RO,0061Y00000QA0pOeLI,0061Y00000QA0pOeTM,0061Y00000QA0pOsXL,0061Y00000QA0pP2TO,0061Y00000QA0pP9QQ,0061Y00000QA0pPdPF,0061Y00000QA0qUuSJ,0061Y00000QA0qV2VS,0061Y00000QA0qV2XT,0061Y00000QA0qVwXY,0061Y00000QA0qVyHH,0061Y00000QA0qXf"&amp;"ZK,0061Y00000QA0qY6YF,0061Y00000QA0qYpMG,0061Y00000QA0qYxDS,0061Y00000QA0rEzCK,0061Y00000QA0rF4WP,0061Y00000QA0rFcON,0061Y00000QA0rFmKY,0061Y00000QA0rFwNA,0061Y00000QA0rG9FA,0061Y00000QA0rGfMD,0061Y00000QA0rGiEE,0061Y00000QA0rH1FY,0061Y00000QA0rH4FC,0061Y"&amp;"00000QA0rH6ED,0061Y00000QA0rHaAU,0061Y00000QA0rHrHR,0061Y00000QA0rHrQY,0061Y00000QA0rI1KA,0061Y00000QA0rI2NE,0061Y00000QA0rImNX,0061Y00000QA0rInCE,0061Y00000QA0rIrID,0061Y00000QA0rIvOD,0061Y00000QA2mcJXN,0061Y00000QA2nnDMH,0061Y00000QA2nnHCX,0061Y00000QA2"&amp;"nnSBG,0061Y00000QA2nnUHJ,0061Y00000QA2nnWFV,0061Y00000QA2nnZMK,0061Y00000QA2noDPT,0061Y00000QA2noOMM,0061Y00000QA2ooADC,0061Y00000QA2ooOCY,0061Y00000QA2opAIO,0061Y00000QA2opNZM,0061Y00000QA2oqBMK,0061Y00000QA2oqWWY,0061Y00000QA2orGEV,0061Y00000QA2orOOZ,00"&amp;"61Y00000QA2orQEZ,0061Y00000QA2orQMQ,0061Y00000QA2plRVM,0061Y00000QA2rzFLT,0061Y00000QA2rzGGS,0061Y00000QA2rzOFX,0061Y00000QA2rzPTD,0061Y00000QA2rzXAO,0061Y00000QA2rzXEV,0061Y00000QA2s0HYB,0061Y00000QA2s0MYL,0061Y00000QA2s0SYE,0061Y00000QA2s0TEZ,0061Y00000"&amp;"QA2s0UCC,0061Y00000QA2s0UEQ,0061Y00000QA2s1AOR,0061Y00000QA2s1LND,0061Y00000QA2s1RQJ,0061Y00000QA2s1SGG,0061Y00000QA2s1VMI,0061Y00000QA2s2AQP,0061Y00000QA2s2RLR,0061Y00000QA2s2TGG,0061Y00000QA2s2UQK,0061Y00000QA2s2WSG,0061Y00000QA2sfFBB,0061Y00000QA2sfOSI"&amp;",0061Y00000QA2sfWWB,0061Y00000QA2sgATU,0061Y00000QA2sgEOI,0061Y00000QA2sgFDQ,0061Y00000QA2sgVNB,0061Y00000QA2sgXLR,0061Y00000QA2shBIZ,0061Y00000QA2shLBO,0061Y00000QA2shOKK,0061Y00000QA2shOKZ,0061Y00000QA2shXEQ,0061Y00000QA2shXJF,0061Y00000QA2slAQM,0061Y00"&amp;"000QA2slCAR,0061Y00000QA2slKVO,0061Y00000QA2slLHN,0061Y00000QA2slPET,0061Y00000QA2slZRZ,0061Y00000QA2slZZH,0061Y00000QA2smBUA,0061Y00000QA2smGZZ,0061Y00000QA2smLPQ,0061Y00000QA2smMPR,0061Y00000QA2smROR,0061Y00000QA2smSSW,0061Y00000QA2smWHQ,0061Y00000QA2sm"&amp;"XIU,0061Y00000QA2snEGX,0061Y00000QA2snFRH,0061Y00000QA2snISK,0061Y00000QA2snKZR,0061Y00000QA2snPYZ,0061Y00000QA2snQPV,0061Y00000QA2ttYAP,0061Y00000QA2ttZJY,0061Y00000QA2ttZUM,0061Y00000QA2tuAFA,0061Y00000QA2tuBNL,0061Y00000QA2tvPHK,0061Y00000QA2tvPHZ,0061"&amp;"Y00000QA2tvPTN,0061Y00000QA2tvTIP,0061Y00000QA2tvUHF,0061Y00000QA2tvXGG,0061Y00000QA2twIHT,0061Y00000QA2twLDD,0061Y00000QA2twUED,0061Y00000QA2twXSM,0061Y00000QA2upLTH,0061Y00000QA2upPHD,0061Y00000QA2upTLV"</formula1>
    </dataValidation>
    <dataValidation type="list" allowBlank="1" showErrorMessage="1" sqref="H2:H436" xr:uid="{00000000-0002-0000-0100-000006000000}">
      <formula1>"Workforce - C,Workforce - B,Workforce - A,CIAM - A,Workforce - D,Workforce - 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
  <sheetViews>
    <sheetView workbookViewId="0">
      <selection activeCell="D21" sqref="D21"/>
    </sheetView>
  </sheetViews>
  <sheetFormatPr baseColWidth="10" defaultColWidth="12.6640625" defaultRowHeight="15.75" customHeight="1" x14ac:dyDescent="0.15"/>
  <cols>
    <col min="1" max="1" width="19" customWidth="1"/>
    <col min="2" max="2" width="20" customWidth="1"/>
  </cols>
  <sheetData>
    <row r="1" spans="1:2" ht="15.75" customHeight="1" x14ac:dyDescent="0.15">
      <c r="A1" s="2" t="s">
        <v>2</v>
      </c>
      <c r="B1" s="2" t="s">
        <v>4</v>
      </c>
    </row>
    <row r="2" spans="1:2" ht="15.75" customHeight="1" x14ac:dyDescent="0.15">
      <c r="A2" s="3" t="s">
        <v>5</v>
      </c>
      <c r="B2" s="3" t="s">
        <v>6</v>
      </c>
    </row>
    <row r="3" spans="1:2" ht="15.75" customHeight="1" x14ac:dyDescent="0.15">
      <c r="A3" s="3" t="s">
        <v>7</v>
      </c>
      <c r="B3" s="3" t="s">
        <v>8</v>
      </c>
    </row>
    <row r="4" spans="1:2" ht="15.75" customHeight="1" x14ac:dyDescent="0.15">
      <c r="A4" s="3" t="s">
        <v>9</v>
      </c>
      <c r="B4" s="3" t="s">
        <v>10</v>
      </c>
    </row>
    <row r="5" spans="1:2" ht="15.75" customHeight="1" x14ac:dyDescent="0.15">
      <c r="A5" s="3" t="s">
        <v>13</v>
      </c>
      <c r="B5" s="3" t="s">
        <v>14</v>
      </c>
    </row>
    <row r="6" spans="1:2" ht="15.75" customHeight="1" x14ac:dyDescent="0.15">
      <c r="A6" s="3" t="s">
        <v>17</v>
      </c>
      <c r="B6" s="3" t="s">
        <v>18</v>
      </c>
    </row>
    <row r="7" spans="1:2" ht="15.75" customHeight="1" x14ac:dyDescent="0.15">
      <c r="A7" s="3" t="s">
        <v>21</v>
      </c>
      <c r="B7" s="3" t="s">
        <v>23</v>
      </c>
    </row>
    <row r="8" spans="1:2" ht="15.75" customHeight="1" x14ac:dyDescent="0.15">
      <c r="A8" s="3" t="s">
        <v>25</v>
      </c>
      <c r="B8" s="3" t="s">
        <v>27</v>
      </c>
    </row>
    <row r="9" spans="1:2" ht="15.75" customHeight="1" x14ac:dyDescent="0.15">
      <c r="A9" s="3" t="s">
        <v>28</v>
      </c>
      <c r="B9" s="3" t="s">
        <v>30</v>
      </c>
    </row>
    <row r="10" spans="1:2" ht="15.75" customHeight="1" x14ac:dyDescent="0.15">
      <c r="A10" s="3" t="s">
        <v>31</v>
      </c>
      <c r="B10" s="3"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20"/>
  <sheetViews>
    <sheetView workbookViewId="0"/>
  </sheetViews>
  <sheetFormatPr baseColWidth="10" defaultColWidth="12.6640625" defaultRowHeight="15.75" customHeight="1" x14ac:dyDescent="0.15"/>
  <cols>
    <col min="1" max="1" width="13.83203125" customWidth="1"/>
    <col min="2" max="2" width="15.1640625" customWidth="1"/>
    <col min="3" max="3" width="14.1640625" customWidth="1"/>
    <col min="5" max="5" width="15.1640625" customWidth="1"/>
    <col min="6" max="6" width="21" customWidth="1"/>
    <col min="7" max="7" width="18.1640625" customWidth="1"/>
  </cols>
  <sheetData>
    <row r="1" spans="1:5" ht="15.75" customHeight="1" x14ac:dyDescent="0.15">
      <c r="A1" s="3" t="s">
        <v>1</v>
      </c>
    </row>
    <row r="2" spans="1:5" ht="15.75" customHeight="1" x14ac:dyDescent="0.15">
      <c r="A2" s="3" t="s">
        <v>24</v>
      </c>
    </row>
    <row r="4" spans="1:5" ht="15.75" customHeight="1" x14ac:dyDescent="0.15">
      <c r="A4" s="3" t="s">
        <v>29</v>
      </c>
    </row>
    <row r="5" spans="1:5" ht="15.75" customHeight="1" x14ac:dyDescent="0.15">
      <c r="A5" s="19" t="s">
        <v>11</v>
      </c>
      <c r="B5" s="20" t="s">
        <v>39</v>
      </c>
    </row>
    <row r="6" spans="1:5" ht="15.75" customHeight="1" x14ac:dyDescent="0.15">
      <c r="A6" s="21" t="s">
        <v>40</v>
      </c>
      <c r="B6" s="26">
        <v>2694035.1400000025</v>
      </c>
    </row>
    <row r="7" spans="1:5" ht="15.75" customHeight="1" x14ac:dyDescent="0.15">
      <c r="A7" s="22" t="s">
        <v>41</v>
      </c>
      <c r="B7" s="27">
        <v>1121169.8600000006</v>
      </c>
    </row>
    <row r="8" spans="1:5" ht="15.75" customHeight="1" x14ac:dyDescent="0.15">
      <c r="A8" s="22" t="s">
        <v>43</v>
      </c>
      <c r="B8" s="27">
        <v>3794801.8399999989</v>
      </c>
    </row>
    <row r="9" spans="1:5" ht="15.75" customHeight="1" x14ac:dyDescent="0.15">
      <c r="A9" s="23" t="s">
        <v>44</v>
      </c>
      <c r="B9" s="28">
        <v>7610006.8400000017</v>
      </c>
    </row>
    <row r="11" spans="1:5" ht="15.75" customHeight="1" x14ac:dyDescent="0.15">
      <c r="A11" s="3" t="s">
        <v>45</v>
      </c>
    </row>
    <row r="12" spans="1:5" ht="15.75" customHeight="1" x14ac:dyDescent="0.15">
      <c r="A12" s="7" t="s">
        <v>46</v>
      </c>
      <c r="B12" s="7" t="s">
        <v>47</v>
      </c>
      <c r="C12" s="7" t="s">
        <v>48</v>
      </c>
      <c r="D12" s="7" t="s">
        <v>49</v>
      </c>
      <c r="E12" s="7" t="s">
        <v>50</v>
      </c>
    </row>
    <row r="13" spans="1:5" ht="15.75" customHeight="1" x14ac:dyDescent="0.15">
      <c r="A13" s="3" t="s">
        <v>43</v>
      </c>
      <c r="B13" s="9">
        <f>SUMIFS('Sales Data'!I$2:I1000, 'Sales Data'!C$2:C1000, A13)</f>
        <v>3794801.8399999989</v>
      </c>
      <c r="C13" s="3">
        <f ca="1">IFERROR(__xludf.DUMMYFUNCTION("COUNTUNIQUE(FILTER('Sales Data'!A$2:A1000, 'Sales Data'!C$2:C1000=A13))"),74)</f>
        <v>74</v>
      </c>
      <c r="D13" s="11">
        <f t="shared" ref="D13:D15" si="0">B13/SUM($B$13:$B$15)</f>
        <v>0.49865945192764083</v>
      </c>
      <c r="E13" s="9">
        <f t="shared" ref="E13:E16" ca="1" si="1">B13/C13</f>
        <v>51281.105945945928</v>
      </c>
    </row>
    <row r="14" spans="1:5" ht="15.75" customHeight="1" x14ac:dyDescent="0.15">
      <c r="A14" s="3" t="s">
        <v>40</v>
      </c>
      <c r="B14" s="9">
        <f>SUMIFS('Sales Data'!I$2:I1000, 'Sales Data'!C$2:C1000, A14)</f>
        <v>2694035.1400000025</v>
      </c>
      <c r="C14" s="3">
        <f ca="1">IFERROR(__xludf.DUMMYFUNCTION("COUNTUNIQUE(FILTER('Sales Data'!A$2:A1000, 'Sales Data'!C$2:C1000=A14))"),44)</f>
        <v>44</v>
      </c>
      <c r="D14" s="11">
        <f t="shared" si="0"/>
        <v>0.35401218377879956</v>
      </c>
      <c r="E14" s="9">
        <f t="shared" ca="1" si="1"/>
        <v>61228.071363636416</v>
      </c>
    </row>
    <row r="15" spans="1:5" ht="15.75" customHeight="1" x14ac:dyDescent="0.15">
      <c r="A15" s="3" t="s">
        <v>41</v>
      </c>
      <c r="B15" s="9">
        <f>SUMIFS('Sales Data'!I$2:I1000, 'Sales Data'!C$2:C1000, A15)</f>
        <v>1121169.8600000006</v>
      </c>
      <c r="C15" s="3">
        <f ca="1">IFERROR(__xludf.DUMMYFUNCTION("COUNTUNIQUE(FILTER('Sales Data'!A$2:A1000, 'Sales Data'!C$2:C1000=A15))"),27)</f>
        <v>27</v>
      </c>
      <c r="D15" s="11">
        <f t="shared" si="0"/>
        <v>0.14732836429355961</v>
      </c>
      <c r="E15" s="9">
        <f t="shared" ca="1" si="1"/>
        <v>41524.80962962965</v>
      </c>
    </row>
    <row r="16" spans="1:5" ht="15.75" customHeight="1" x14ac:dyDescent="0.15">
      <c r="A16" s="2" t="s">
        <v>65</v>
      </c>
      <c r="B16" s="12">
        <f t="shared" ref="B16:D16" si="2">SUM(B13:B15)</f>
        <v>7610006.8400000017</v>
      </c>
      <c r="C16" s="2">
        <f t="shared" ca="1" si="2"/>
        <v>145</v>
      </c>
      <c r="D16" s="13">
        <f t="shared" si="2"/>
        <v>1</v>
      </c>
      <c r="E16" s="12">
        <f t="shared" ca="1" si="1"/>
        <v>52482.805793103464</v>
      </c>
    </row>
    <row r="19" spans="6:7" ht="15.75" customHeight="1" x14ac:dyDescent="0.15">
      <c r="F19" s="14" t="s">
        <v>70</v>
      </c>
      <c r="G19" s="14" t="s">
        <v>71</v>
      </c>
    </row>
    <row r="20" spans="6:7" ht="15.75" customHeight="1" x14ac:dyDescent="0.15">
      <c r="F20" s="15" t="s">
        <v>72</v>
      </c>
      <c r="G20" s="15"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6"/>
  <sheetViews>
    <sheetView workbookViewId="0"/>
  </sheetViews>
  <sheetFormatPr baseColWidth="10" defaultColWidth="12.6640625" defaultRowHeight="15.75" customHeight="1" x14ac:dyDescent="0.15"/>
  <cols>
    <col min="2" max="2" width="15.83203125" customWidth="1"/>
    <col min="3" max="3" width="18.1640625" customWidth="1"/>
    <col min="4" max="4" width="16" customWidth="1"/>
    <col min="5" max="5" width="20.83203125" customWidth="1"/>
    <col min="7" max="8" width="16.6640625" customWidth="1"/>
  </cols>
  <sheetData>
    <row r="1" spans="1:8" ht="13" x14ac:dyDescent="0.15">
      <c r="A1" s="3" t="s">
        <v>53</v>
      </c>
    </row>
    <row r="2" spans="1:8" ht="13" x14ac:dyDescent="0.15">
      <c r="A2" s="3" t="s">
        <v>55</v>
      </c>
    </row>
    <row r="4" spans="1:8" ht="15.75" customHeight="1" x14ac:dyDescent="0.15">
      <c r="A4" s="25" t="s">
        <v>19</v>
      </c>
      <c r="B4" s="24" t="s">
        <v>114</v>
      </c>
    </row>
    <row r="6" spans="1:8" ht="13" x14ac:dyDescent="0.15">
      <c r="A6" s="19" t="s">
        <v>12</v>
      </c>
      <c r="B6" s="20" t="s">
        <v>62</v>
      </c>
    </row>
    <row r="7" spans="1:8" ht="13" x14ac:dyDescent="0.15">
      <c r="A7" s="21" t="s">
        <v>63</v>
      </c>
      <c r="B7" s="26">
        <v>254327.67999999999</v>
      </c>
    </row>
    <row r="8" spans="1:8" ht="13" x14ac:dyDescent="0.15">
      <c r="A8" s="22" t="s">
        <v>51</v>
      </c>
      <c r="B8" s="27">
        <v>1549139.4399999997</v>
      </c>
    </row>
    <row r="9" spans="1:8" ht="13" x14ac:dyDescent="0.15">
      <c r="A9" s="23" t="s">
        <v>44</v>
      </c>
      <c r="B9" s="28">
        <v>1803467.1199999996</v>
      </c>
    </row>
    <row r="11" spans="1:8" ht="13" x14ac:dyDescent="0.15">
      <c r="A11" s="7" t="s">
        <v>66</v>
      </c>
      <c r="B11" s="7" t="s">
        <v>62</v>
      </c>
      <c r="C11" s="7" t="s">
        <v>67</v>
      </c>
      <c r="D11" s="7" t="s">
        <v>68</v>
      </c>
      <c r="E11" s="7" t="s">
        <v>69</v>
      </c>
    </row>
    <row r="12" spans="1:8" ht="13" x14ac:dyDescent="0.15">
      <c r="A12" s="3" t="s">
        <v>51</v>
      </c>
      <c r="B12" s="9">
        <f>SUMIFS('Sales Data'!I$2:I1000, 'Sales Data'!G$2:G1000, "CIAM", 'Sales Data'!D$2:D1000, A12)</f>
        <v>1549139.4400000002</v>
      </c>
      <c r="C12" s="3">
        <f ca="1">IFERROR(__xludf.DUMMYFUNCTION("COUNTUNIQUE(FILTER('Sales Data'!A$2:A1000, 'Sales Data'!D$2:D1000=A12, 'Sales Data'!G$2:G1000=""CIAM""))"),8)</f>
        <v>8</v>
      </c>
      <c r="D12" s="3">
        <f>COUNTIFS('Sales Data'!G$2:G1000, "CIAM", 'Sales Data'!D$2:D1000, A12)</f>
        <v>26</v>
      </c>
      <c r="E12" s="9">
        <f t="shared" ref="E12:E14" ca="1" si="0">B12/C12</f>
        <v>193642.43000000002</v>
      </c>
    </row>
    <row r="13" spans="1:8" ht="13" x14ac:dyDescent="0.15">
      <c r="A13" s="3" t="s">
        <v>63</v>
      </c>
      <c r="B13" s="9">
        <f>SUMIFS('Sales Data'!I$2:I1000, 'Sales Data'!G$2:G1000, "CIAM", 'Sales Data'!D$2:D1000, A13)</f>
        <v>254327.67999999996</v>
      </c>
      <c r="C13" s="3">
        <f ca="1">IFERROR(__xludf.DUMMYFUNCTION("COUNTUNIQUE(FILTER('Sales Data'!A$2:A1000, 'Sales Data'!D$2:D1000=A13, 'Sales Data'!G$2:G1000=""CIAM""))"),6)</f>
        <v>6</v>
      </c>
      <c r="D13" s="3">
        <f>COUNTIFS('Sales Data'!G$2:G1000, "CIAM", 'Sales Data'!D$2:D1000, A13)</f>
        <v>13</v>
      </c>
      <c r="E13" s="9">
        <f t="shared" ca="1" si="0"/>
        <v>42387.946666666663</v>
      </c>
    </row>
    <row r="14" spans="1:8" ht="13" x14ac:dyDescent="0.15">
      <c r="A14" s="2" t="s">
        <v>65</v>
      </c>
      <c r="B14" s="12">
        <f t="shared" ref="B14:D14" si="1">SUM(B12:B13)</f>
        <v>1803467.12</v>
      </c>
      <c r="C14" s="2">
        <f t="shared" ca="1" si="1"/>
        <v>14</v>
      </c>
      <c r="D14" s="2">
        <f t="shared" si="1"/>
        <v>39</v>
      </c>
      <c r="E14" s="12">
        <f t="shared" ca="1" si="0"/>
        <v>128819.08</v>
      </c>
    </row>
    <row r="15" spans="1:8" ht="13" x14ac:dyDescent="0.15">
      <c r="G15" s="2" t="s">
        <v>70</v>
      </c>
      <c r="H15" s="2" t="s">
        <v>77</v>
      </c>
    </row>
    <row r="16" spans="1:8" ht="195.75" customHeight="1" x14ac:dyDescent="0.15">
      <c r="G16" s="16" t="s">
        <v>78</v>
      </c>
      <c r="H16" s="16" t="s">
        <v>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3"/>
  <sheetViews>
    <sheetView workbookViewId="0"/>
  </sheetViews>
  <sheetFormatPr baseColWidth="10" defaultColWidth="12.6640625" defaultRowHeight="15.75" customHeight="1" x14ac:dyDescent="0.15"/>
  <cols>
    <col min="1" max="1" width="20.1640625" customWidth="1"/>
    <col min="2" max="2" width="21.1640625" customWidth="1"/>
  </cols>
  <sheetData>
    <row r="1" spans="1:2" ht="15.75" customHeight="1" x14ac:dyDescent="0.15">
      <c r="A1" s="3" t="s">
        <v>82</v>
      </c>
    </row>
    <row r="2" spans="1:2" ht="15.75" customHeight="1" x14ac:dyDescent="0.15">
      <c r="A2" s="3" t="s">
        <v>83</v>
      </c>
    </row>
    <row r="4" spans="1:2" ht="15.75" customHeight="1" x14ac:dyDescent="0.15">
      <c r="A4" s="25" t="s">
        <v>11</v>
      </c>
      <c r="B4" s="24" t="s">
        <v>40</v>
      </c>
    </row>
    <row r="5" spans="1:2" ht="15.75" customHeight="1" x14ac:dyDescent="0.15">
      <c r="A5" s="25" t="s">
        <v>12</v>
      </c>
      <c r="B5" s="24" t="s">
        <v>51</v>
      </c>
    </row>
    <row r="6" spans="1:2" ht="15.75" customHeight="1" x14ac:dyDescent="0.15">
      <c r="A6" s="25" t="s">
        <v>15</v>
      </c>
      <c r="B6" s="24" t="s">
        <v>75</v>
      </c>
    </row>
    <row r="7" spans="1:2" ht="15.75" customHeight="1" x14ac:dyDescent="0.15">
      <c r="A7" s="25" t="s">
        <v>16</v>
      </c>
      <c r="B7" s="24" t="s">
        <v>298</v>
      </c>
    </row>
    <row r="9" spans="1:2" ht="15.75" customHeight="1" x14ac:dyDescent="0.15">
      <c r="A9" s="19" t="s">
        <v>3</v>
      </c>
      <c r="B9" s="20" t="s">
        <v>86</v>
      </c>
    </row>
    <row r="10" spans="1:2" ht="15.75" customHeight="1" x14ac:dyDescent="0.15">
      <c r="A10" s="21" t="s">
        <v>87</v>
      </c>
      <c r="B10" s="26">
        <v>2</v>
      </c>
    </row>
    <row r="11" spans="1:2" ht="15.75" customHeight="1" x14ac:dyDescent="0.15">
      <c r="A11" s="22" t="s">
        <v>88</v>
      </c>
      <c r="B11" s="27">
        <v>4</v>
      </c>
    </row>
    <row r="12" spans="1:2" ht="15.75" customHeight="1" x14ac:dyDescent="0.15">
      <c r="A12" s="22" t="s">
        <v>89</v>
      </c>
      <c r="B12" s="27">
        <v>1</v>
      </c>
    </row>
    <row r="13" spans="1:2" ht="15.75" customHeight="1" x14ac:dyDescent="0.15">
      <c r="A13" s="23" t="s">
        <v>44</v>
      </c>
      <c r="B13" s="28">
        <v>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67"/>
  <sheetViews>
    <sheetView workbookViewId="0"/>
  </sheetViews>
  <sheetFormatPr baseColWidth="10" defaultColWidth="12.6640625" defaultRowHeight="15.75" customHeight="1" x14ac:dyDescent="0.15"/>
  <cols>
    <col min="1" max="1" width="19.33203125" customWidth="1"/>
    <col min="2" max="2" width="17.83203125" customWidth="1"/>
    <col min="4" max="4" width="14.6640625" customWidth="1"/>
    <col min="5" max="5" width="14.1640625" customWidth="1"/>
  </cols>
  <sheetData>
    <row r="1" spans="1:6" ht="15.75" customHeight="1" x14ac:dyDescent="0.15">
      <c r="A1" s="17" t="s">
        <v>91</v>
      </c>
    </row>
    <row r="2" spans="1:6" ht="15.75" customHeight="1" x14ac:dyDescent="0.15">
      <c r="A2" s="3" t="s">
        <v>92</v>
      </c>
    </row>
    <row r="3" spans="1:6" ht="15.75" customHeight="1" x14ac:dyDescent="0.15">
      <c r="A3" s="3" t="s">
        <v>93</v>
      </c>
    </row>
    <row r="4" spans="1:6" ht="15.75" customHeight="1" x14ac:dyDescent="0.15">
      <c r="A4" s="3" t="s">
        <v>94</v>
      </c>
    </row>
    <row r="6" spans="1:6" ht="15.75" customHeight="1" x14ac:dyDescent="0.15">
      <c r="A6" s="18" t="s">
        <v>95</v>
      </c>
      <c r="B6" s="18" t="s">
        <v>96</v>
      </c>
      <c r="C6" s="7" t="s">
        <v>46</v>
      </c>
      <c r="D6" s="7" t="s">
        <v>97</v>
      </c>
      <c r="F6" s="3" t="s">
        <v>98</v>
      </c>
    </row>
    <row r="7" spans="1:6" ht="15.75" customHeight="1" x14ac:dyDescent="0.15">
      <c r="A7" s="9" t="str">
        <f ca="1">IFERROR(__xludf.DUMMYFUNCTION("QUERY('Sales Data'!B2:I1000, ""select B, sum(I) where B is not null group by B order by sum(I) desc label sum(I) ''"", 0)"),"0051Y00000QARBgp8N")</f>
        <v>0051Y00000QARBgp8N</v>
      </c>
      <c r="B7" s="9">
        <f ca="1">IFERROR(__xludf.DUMMYFUNCTION("""COMPUTED_VALUE"""),1021381.92)</f>
        <v>1021381.92</v>
      </c>
      <c r="C7" s="3" t="str">
        <f ca="1">IFERROR(__xludf.DUMMYFUNCTION("INDEX(FILTER('Sales Data'!C:C, 'Sales Data'!B:B=A7), 1)"),"EMEA")</f>
        <v>EMEA</v>
      </c>
      <c r="D7" s="3" t="str">
        <f ca="1">IFERROR(VLOOKUP(A7, People!A:B, 2, FALSE), "")</f>
        <v/>
      </c>
      <c r="F7" s="3" t="s">
        <v>100</v>
      </c>
    </row>
    <row r="8" spans="1:6" ht="15.75" customHeight="1" x14ac:dyDescent="0.15">
      <c r="A8" s="9" t="str">
        <f ca="1">IFERROR(__xludf.DUMMYFUNCTION("""COMPUTED_VALUE"""),"0054z00000AAVA1E0V")</f>
        <v>0054z00000AAVA1E0V</v>
      </c>
      <c r="B8" s="9">
        <f ca="1">IFERROR(__xludf.DUMMYFUNCTION("""COMPUTED_VALUE"""),645698.19)</f>
        <v>645698.18999999994</v>
      </c>
      <c r="C8" s="3" t="str">
        <f ca="1">IFERROR(__xludf.DUMMYFUNCTION("INDEX(FILTER('Sales Data'!C:C, 'Sales Data'!B:B=A8), 1)"),"AMER")</f>
        <v>AMER</v>
      </c>
      <c r="D8" s="3" t="str">
        <f ca="1">IFERROR(VLOOKUP(A8, People!A:B, 2, FALSE), "")</f>
        <v>Alice Chen</v>
      </c>
      <c r="F8" s="3" t="s">
        <v>101</v>
      </c>
    </row>
    <row r="9" spans="1:6" ht="15.75" customHeight="1" x14ac:dyDescent="0.15">
      <c r="A9" s="9" t="str">
        <f ca="1">IFERROR(__xludf.DUMMYFUNCTION("""COMPUTED_VALUE"""),"0054z00000AAVA1UwD")</f>
        <v>0054z00000AAVA1UwD</v>
      </c>
      <c r="B9" s="9">
        <f ca="1">IFERROR(__xludf.DUMMYFUNCTION("""COMPUTED_VALUE"""),512870.339999999)</f>
        <v>512870.33999999898</v>
      </c>
      <c r="C9" s="3" t="str">
        <f ca="1">IFERROR(__xludf.DUMMYFUNCTION("INDEX(FILTER('Sales Data'!C:C, 'Sales Data'!B:B=A9), 1)"),"AMER")</f>
        <v>AMER</v>
      </c>
      <c r="D9" s="3" t="str">
        <f ca="1">IFERROR(VLOOKUP(A9, People!A:B, 2, FALSE), "")</f>
        <v>George Bluth</v>
      </c>
    </row>
    <row r="10" spans="1:6" ht="15.75" customHeight="1" x14ac:dyDescent="0.15">
      <c r="A10" s="9" t="str">
        <f ca="1">IFERROR(__xludf.DUMMYFUNCTION("""COMPUTED_VALUE"""),"0054z00000AAQ95znP")</f>
        <v>0054z00000AAQ95znP</v>
      </c>
      <c r="B10" s="9">
        <f ca="1">IFERROR(__xludf.DUMMYFUNCTION("""COMPUTED_VALUE"""),480718)</f>
        <v>480718</v>
      </c>
      <c r="C10" s="3" t="str">
        <f ca="1">IFERROR(__xludf.DUMMYFUNCTION("INDEX(FILTER('Sales Data'!C:C, 'Sales Data'!B:B=A10), 1)"),"EMEA")</f>
        <v>EMEA</v>
      </c>
      <c r="D10" s="3" t="str">
        <f ca="1">IFERROR(VLOOKUP(A10, People!A:B, 2, FALSE), "")</f>
        <v/>
      </c>
    </row>
    <row r="11" spans="1:6" ht="15.75" customHeight="1" x14ac:dyDescent="0.15">
      <c r="A11" s="9" t="str">
        <f ca="1">IFERROR(__xludf.DUMMYFUNCTION("""COMPUTED_VALUE"""),"0054z00000AABA18jp")</f>
        <v>0054z00000AABA18jp</v>
      </c>
      <c r="B11" s="9">
        <f ca="1">IFERROR(__xludf.DUMMYFUNCTION("""COMPUTED_VALUE"""),458363.53)</f>
        <v>458363.53</v>
      </c>
      <c r="C11" s="3" t="str">
        <f ca="1">IFERROR(__xludf.DUMMYFUNCTION("INDEX(FILTER('Sales Data'!C:C, 'Sales Data'!B:B=A11), 1)"),"APAC")</f>
        <v>APAC</v>
      </c>
      <c r="D11" s="3" t="str">
        <f ca="1">IFERROR(VLOOKUP(A11, People!A:B, 2, FALSE), "")</f>
        <v>Hannah Abbott</v>
      </c>
    </row>
    <row r="12" spans="1:6" ht="15.75" customHeight="1" x14ac:dyDescent="0.15">
      <c r="A12" s="9" t="str">
        <f ca="1">IFERROR(__xludf.DUMMYFUNCTION("""COMPUTED_VALUE"""),"0054z00000AAPAKOSd")</f>
        <v>0054z00000AAPAKOSd</v>
      </c>
      <c r="B12" s="9">
        <f ca="1">IFERROR(__xludf.DUMMYFUNCTION("""COMPUTED_VALUE"""),370834.3)</f>
        <v>370834.3</v>
      </c>
      <c r="C12" s="3" t="str">
        <f ca="1">IFERROR(__xludf.DUMMYFUNCTION("INDEX(FILTER('Sales Data'!C:C, 'Sales Data'!B:B=A12), 1)"),"AMER")</f>
        <v>AMER</v>
      </c>
      <c r="D12" s="3" t="str">
        <f ca="1">IFERROR(VLOOKUP(A12, People!A:B, 2, FALSE), "")</f>
        <v/>
      </c>
    </row>
    <row r="13" spans="1:6" ht="15.75" customHeight="1" x14ac:dyDescent="0.15">
      <c r="A13" s="9" t="str">
        <f ca="1">IFERROR(__xludf.DUMMYFUNCTION("""COMPUTED_VALUE"""),"0054z00000AAFA1E0p")</f>
        <v>0054z00000AAFA1E0p</v>
      </c>
      <c r="B13" s="9">
        <f ca="1">IFERROR(__xludf.DUMMYFUNCTION("""COMPUTED_VALUE"""),345898.39)</f>
        <v>345898.39</v>
      </c>
      <c r="C13" s="3" t="str">
        <f ca="1">IFERROR(__xludf.DUMMYFUNCTION("INDEX(FILTER('Sales Data'!C:C, 'Sales Data'!B:B=A13), 1)"),"AMER")</f>
        <v>AMER</v>
      </c>
      <c r="D13" s="3" t="str">
        <f ca="1">IFERROR(VLOOKUP(A13, People!A:B, 2, FALSE), "")</f>
        <v>Bob Smith</v>
      </c>
    </row>
    <row r="14" spans="1:6" ht="15.75" customHeight="1" x14ac:dyDescent="0.15">
      <c r="A14" s="9" t="str">
        <f ca="1">IFERROR(__xludf.DUMMYFUNCTION("""COMPUTED_VALUE"""),"0054z00000AAFA1E0k")</f>
        <v>0054z00000AAFA1E0k</v>
      </c>
      <c r="B14" s="9">
        <f ca="1">IFERROR(__xludf.DUMMYFUNCTION("""COMPUTED_VALUE"""),278603.37)</f>
        <v>278603.37</v>
      </c>
      <c r="C14" s="3" t="str">
        <f ca="1">IFERROR(__xludf.DUMMYFUNCTION("INDEX(FILTER('Sales Data'!C:C, 'Sales Data'!B:B=A14), 1)"),"EMEA")</f>
        <v>EMEA</v>
      </c>
      <c r="D14" s="3" t="str">
        <f ca="1">IFERROR(VLOOKUP(A14, People!A:B, 2, FALSE), "")</f>
        <v/>
      </c>
    </row>
    <row r="15" spans="1:6" ht="15.75" customHeight="1" x14ac:dyDescent="0.15">
      <c r="A15" s="9" t="str">
        <f ca="1">IFERROR(__xludf.DUMMYFUNCTION("""COMPUTED_VALUE"""),"0054z00000AAVA1E0S")</f>
        <v>0054z00000AAVA1E0S</v>
      </c>
      <c r="B15" s="9">
        <f ca="1">IFERROR(__xludf.DUMMYFUNCTION("""COMPUTED_VALUE"""),260459.87)</f>
        <v>260459.87</v>
      </c>
      <c r="C15" s="3" t="str">
        <f ca="1">IFERROR(__xludf.DUMMYFUNCTION("INDEX(FILTER('Sales Data'!C:C, 'Sales Data'!B:B=A15), 1)"),"AMER")</f>
        <v>AMER</v>
      </c>
      <c r="D15" s="3" t="str">
        <f ca="1">IFERROR(VLOOKUP(A15, People!A:B, 2, FALSE), "")</f>
        <v>Ian Wright</v>
      </c>
    </row>
    <row r="16" spans="1:6" ht="15.75" customHeight="1" x14ac:dyDescent="0.15">
      <c r="A16" s="9" t="str">
        <f ca="1">IFERROR(__xludf.DUMMYFUNCTION("""COMPUTED_VALUE"""),"0054z00000AAE97J5t")</f>
        <v>0054z00000AAE97J5t</v>
      </c>
      <c r="B16" s="9">
        <f ca="1">IFERROR(__xludf.DUMMYFUNCTION("""COMPUTED_VALUE"""),232200.979999999)</f>
        <v>232200.97999999899</v>
      </c>
      <c r="C16" s="3" t="str">
        <f ca="1">IFERROR(__xludf.DUMMYFUNCTION("INDEX(FILTER('Sales Data'!C:C, 'Sales Data'!B:B=A16), 1)"),"APAC")</f>
        <v>APAC</v>
      </c>
      <c r="D16" s="3" t="str">
        <f ca="1">IFERROR(VLOOKUP(A16, People!A:B, 2, FALSE), "")</f>
        <v/>
      </c>
    </row>
    <row r="17" spans="1:4" ht="15.75" customHeight="1" x14ac:dyDescent="0.15">
      <c r="A17" s="9" t="str">
        <f ca="1">IFERROR(__xludf.DUMMYFUNCTION("""COMPUTED_VALUE"""),"0054z00000AAVA1UwE")</f>
        <v>0054z00000AAVA1UwE</v>
      </c>
      <c r="B17" s="9">
        <f ca="1">IFERROR(__xludf.DUMMYFUNCTION("""COMPUTED_VALUE"""),217866.38)</f>
        <v>217866.38</v>
      </c>
      <c r="C17" s="3" t="str">
        <f ca="1">IFERROR(__xludf.DUMMYFUNCTION("INDEX(FILTER('Sales Data'!C:C, 'Sales Data'!B:B=A17), 1)"),"EMEA")</f>
        <v>EMEA</v>
      </c>
      <c r="D17" s="3" t="str">
        <f ca="1">IFERROR(VLOOKUP(A17, People!A:B, 2, FALSE), "")</f>
        <v/>
      </c>
    </row>
    <row r="18" spans="1:4" ht="15.75" customHeight="1" x14ac:dyDescent="0.15">
      <c r="A18" s="9" t="str">
        <f ca="1">IFERROR(__xludf.DUMMYFUNCTION("""COMPUTED_VALUE"""),"0054z00000AADAKaw6")</f>
        <v>0054z00000AADAKaw6</v>
      </c>
      <c r="B18" s="9">
        <f ca="1">IFERROR(__xludf.DUMMYFUNCTION("""COMPUTED_VALUE"""),210070.83)</f>
        <v>210070.83</v>
      </c>
      <c r="C18" s="3" t="str">
        <f ca="1">IFERROR(__xludf.DUMMYFUNCTION("INDEX(FILTER('Sales Data'!C:C, 'Sales Data'!B:B=A18), 1)"),"APAC")</f>
        <v>APAC</v>
      </c>
      <c r="D18" s="3" t="str">
        <f ca="1">IFERROR(VLOOKUP(A18, People!A:B, 2, FALSE), "")</f>
        <v/>
      </c>
    </row>
    <row r="19" spans="1:4" ht="15.75" customHeight="1" x14ac:dyDescent="0.15">
      <c r="A19" s="9" t="str">
        <f ca="1">IFERROR(__xludf.DUMMYFUNCTION("""COMPUTED_VALUE"""),"0054z00000AAFA1E0j")</f>
        <v>0054z00000AAFA1E0j</v>
      </c>
      <c r="B19" s="9">
        <f ca="1">IFERROR(__xludf.DUMMYFUNCTION("""COMPUTED_VALUE"""),164947.2)</f>
        <v>164947.20000000001</v>
      </c>
      <c r="C19" s="3" t="str">
        <f ca="1">IFERROR(__xludf.DUMMYFUNCTION("INDEX(FILTER('Sales Data'!C:C, 'Sales Data'!B:B=A19), 1)"),"EMEA")</f>
        <v>EMEA</v>
      </c>
      <c r="D19" s="3" t="str">
        <f ca="1">IFERROR(VLOOKUP(A19, People!A:B, 2, FALSE), "")</f>
        <v/>
      </c>
    </row>
    <row r="20" spans="1:4" ht="15.75" customHeight="1" x14ac:dyDescent="0.15">
      <c r="A20" s="9" t="str">
        <f ca="1">IFERROR(__xludf.DUMMYFUNCTION("""COMPUTED_VALUE"""),"0054z00000AAFA1Iw8")</f>
        <v>0054z00000AAFA1Iw8</v>
      </c>
      <c r="B20" s="9">
        <f ca="1">IFERROR(__xludf.DUMMYFUNCTION("""COMPUTED_VALUE"""),161652.38)</f>
        <v>161652.38</v>
      </c>
      <c r="C20" s="3" t="str">
        <f ca="1">IFERROR(__xludf.DUMMYFUNCTION("INDEX(FILTER('Sales Data'!C:C, 'Sales Data'!B:B=A20), 1)"),"EMEA")</f>
        <v>EMEA</v>
      </c>
      <c r="D20" s="3" t="str">
        <f ca="1">IFERROR(VLOOKUP(A20, People!A:B, 2, FALSE), "")</f>
        <v/>
      </c>
    </row>
    <row r="21" spans="1:4" ht="15.75" customHeight="1" x14ac:dyDescent="0.15">
      <c r="A21" s="9" t="str">
        <f ca="1">IFERROR(__xludf.DUMMYFUNCTION("""COMPUTED_VALUE"""),"0051Y00000QAVBgScR")</f>
        <v>0051Y00000QAVBgScR</v>
      </c>
      <c r="B21" s="9">
        <f ca="1">IFERROR(__xludf.DUMMYFUNCTION("""COMPUTED_VALUE"""),161574.7)</f>
        <v>161574.70000000001</v>
      </c>
      <c r="C21" s="3" t="str">
        <f ca="1">IFERROR(__xludf.DUMMYFUNCTION("INDEX(FILTER('Sales Data'!C:C, 'Sales Data'!B:B=A21), 1)"),"AMER")</f>
        <v>AMER</v>
      </c>
      <c r="D21" s="3" t="str">
        <f ca="1">IFERROR(VLOOKUP(A21, People!A:B, 2, FALSE), "")</f>
        <v>Charlie Day</v>
      </c>
    </row>
    <row r="22" spans="1:4" ht="15.75" customHeight="1" x14ac:dyDescent="0.15">
      <c r="A22" s="9" t="str">
        <f ca="1">IFERROR(__xludf.DUMMYFUNCTION("""COMPUTED_VALUE"""),"0054z00000AAU9yY6Y")</f>
        <v>0054z00000AAU9yY6Y</v>
      </c>
      <c r="B22" s="9">
        <f ca="1">IFERROR(__xludf.DUMMYFUNCTION("""COMPUTED_VALUE"""),157245.129999999)</f>
        <v>157245.12999999899</v>
      </c>
      <c r="C22" s="3" t="str">
        <f ca="1">IFERROR(__xludf.DUMMYFUNCTION("INDEX(FILTER('Sales Data'!C:C, 'Sales Data'!B:B=A22), 1)"),"EMEA")</f>
        <v>EMEA</v>
      </c>
      <c r="D22" s="3" t="str">
        <f ca="1">IFERROR(VLOOKUP(A22, People!A:B, 2, FALSE), "")</f>
        <v/>
      </c>
    </row>
    <row r="23" spans="1:4" ht="15.75" customHeight="1" x14ac:dyDescent="0.15">
      <c r="A23" s="9" t="str">
        <f ca="1">IFERROR(__xludf.DUMMYFUNCTION("""COMPUTED_VALUE"""),"0051Y00000QARBei3T")</f>
        <v>0051Y00000QARBei3T</v>
      </c>
      <c r="B23" s="9">
        <f ca="1">IFERROR(__xludf.DUMMYFUNCTION("""COMPUTED_VALUE"""),156752.669999999)</f>
        <v>156752.66999999899</v>
      </c>
      <c r="C23" s="3" t="str">
        <f ca="1">IFERROR(__xludf.DUMMYFUNCTION("INDEX(FILTER('Sales Data'!C:C, 'Sales Data'!B:B=A23), 1)"),"EMEA")</f>
        <v>EMEA</v>
      </c>
      <c r="D23" s="3" t="str">
        <f ca="1">IFERROR(VLOOKUP(A23, People!A:B, 2, FALSE), "")</f>
        <v/>
      </c>
    </row>
    <row r="24" spans="1:4" ht="15.75" customHeight="1" x14ac:dyDescent="0.15">
      <c r="A24" s="9" t="str">
        <f ca="1">IFERROR(__xludf.DUMMYFUNCTION("""COMPUTED_VALUE"""),"0054z00000AAY98dRX")</f>
        <v>0054z00000AAY98dRX</v>
      </c>
      <c r="B24" s="9">
        <f ca="1">IFERROR(__xludf.DUMMYFUNCTION("""COMPUTED_VALUE"""),149466.939999999)</f>
        <v>149466.93999999901</v>
      </c>
      <c r="C24" s="3" t="str">
        <f ca="1">IFERROR(__xludf.DUMMYFUNCTION("INDEX(FILTER('Sales Data'!C:C, 'Sales Data'!B:B=A24), 1)"),"EMEA")</f>
        <v>EMEA</v>
      </c>
      <c r="D24" s="3" t="str">
        <f ca="1">IFERROR(VLOOKUP(A24, People!A:B, 2, FALSE), "")</f>
        <v/>
      </c>
    </row>
    <row r="25" spans="1:4" ht="15.75" customHeight="1" x14ac:dyDescent="0.15">
      <c r="A25" s="9" t="str">
        <f ca="1">IFERROR(__xludf.DUMMYFUNCTION("""COMPUTED_VALUE"""),"0054z00000AAFA1E0o")</f>
        <v>0054z00000AAFA1E0o</v>
      </c>
      <c r="B25" s="9">
        <f ca="1">IFERROR(__xludf.DUMMYFUNCTION("""COMPUTED_VALUE"""),143553.54)</f>
        <v>143553.54</v>
      </c>
      <c r="C25" s="3" t="str">
        <f ca="1">IFERROR(__xludf.DUMMYFUNCTION("INDEX(FILTER('Sales Data'!C:C, 'Sales Data'!B:B=A25), 1)"),"AMER")</f>
        <v>AMER</v>
      </c>
      <c r="D25" s="3" t="str">
        <f ca="1">IFERROR(VLOOKUP(A25, People!A:B, 2, FALSE), "")</f>
        <v/>
      </c>
    </row>
    <row r="26" spans="1:4" ht="15.75" customHeight="1" x14ac:dyDescent="0.15">
      <c r="A26" s="9" t="str">
        <f ca="1">IFERROR(__xludf.DUMMYFUNCTION("""COMPUTED_VALUE"""),"0054z00000AAVA1E1V")</f>
        <v>0054z00000AAVA1E1V</v>
      </c>
      <c r="B26" s="9">
        <f ca="1">IFERROR(__xludf.DUMMYFUNCTION("""COMPUTED_VALUE"""),119346.74)</f>
        <v>119346.74</v>
      </c>
      <c r="C26" s="3" t="str">
        <f ca="1">IFERROR(__xludf.DUMMYFUNCTION("INDEX(FILTER('Sales Data'!C:C, 'Sales Data'!B:B=A26), 1)"),"EMEA")</f>
        <v>EMEA</v>
      </c>
      <c r="D26" s="3" t="str">
        <f ca="1">IFERROR(VLOOKUP(A26, People!A:B, 2, FALSE), "")</f>
        <v/>
      </c>
    </row>
    <row r="27" spans="1:4" ht="15.75" customHeight="1" x14ac:dyDescent="0.15">
      <c r="A27" s="9" t="str">
        <f ca="1">IFERROR(__xludf.DUMMYFUNCTION("""COMPUTED_VALUE"""),"0054z00000AAA998l9")</f>
        <v>0054z00000AAA998l9</v>
      </c>
      <c r="B27" s="9">
        <f ca="1">IFERROR(__xludf.DUMMYFUNCTION("""COMPUTED_VALUE"""),106366.2)</f>
        <v>106366.2</v>
      </c>
      <c r="C27" s="3" t="str">
        <f ca="1">IFERROR(__xludf.DUMMYFUNCTION("INDEX(FILTER('Sales Data'!C:C, 'Sales Data'!B:B=A27), 1)"),"EMEA")</f>
        <v>EMEA</v>
      </c>
      <c r="D27" s="3" t="str">
        <f ca="1">IFERROR(VLOOKUP(A27, People!A:B, 2, FALSE), "")</f>
        <v/>
      </c>
    </row>
    <row r="28" spans="1:4" ht="15.75" customHeight="1" x14ac:dyDescent="0.15">
      <c r="A28" s="9" t="str">
        <f ca="1">IFERROR(__xludf.DUMMYFUNCTION("""COMPUTED_VALUE"""),"0054z00000AAVA1E0X")</f>
        <v>0054z00000AAVA1E0X</v>
      </c>
      <c r="B28" s="9">
        <f ca="1">IFERROR(__xludf.DUMMYFUNCTION("""COMPUTED_VALUE"""),81557.99)</f>
        <v>81557.990000000005</v>
      </c>
      <c r="C28" s="3" t="str">
        <f ca="1">IFERROR(__xludf.DUMMYFUNCTION("INDEX(FILTER('Sales Data'!C:C, 'Sales Data'!B:B=A28), 1)"),"AMER")</f>
        <v>AMER</v>
      </c>
      <c r="D28" s="3" t="str">
        <f ca="1">IFERROR(VLOOKUP(A28, People!A:B, 2, FALSE), "")</f>
        <v/>
      </c>
    </row>
    <row r="29" spans="1:4" ht="15.75" customHeight="1" x14ac:dyDescent="0.15">
      <c r="A29" s="9" t="str">
        <f ca="1">IFERROR(__xludf.DUMMYFUNCTION("""COMPUTED_VALUE"""),"0054z00000AAFA1E0g")</f>
        <v>0054z00000AAFA1E0g</v>
      </c>
      <c r="B29" s="9">
        <f ca="1">IFERROR(__xludf.DUMMYFUNCTION("""COMPUTED_VALUE"""),66665.59)</f>
        <v>66665.59</v>
      </c>
      <c r="C29" s="3" t="str">
        <f ca="1">IFERROR(__xludf.DUMMYFUNCTION("INDEX(FILTER('Sales Data'!C:C, 'Sales Data'!B:B=A29), 1)"),"EMEA")</f>
        <v>EMEA</v>
      </c>
      <c r="D29" s="3" t="str">
        <f ca="1">IFERROR(VLOOKUP(A29, People!A:B, 2, FALSE), "")</f>
        <v/>
      </c>
    </row>
    <row r="30" spans="1:4" ht="15.75" customHeight="1" x14ac:dyDescent="0.15">
      <c r="A30" s="9" t="str">
        <f ca="1">IFERROR(__xludf.DUMMYFUNCTION("""COMPUTED_VALUE"""),"0054z00000AAFA1E0i")</f>
        <v>0054z00000AAFA1E0i</v>
      </c>
      <c r="B30" s="9">
        <f ca="1">IFERROR(__xludf.DUMMYFUNCTION("""COMPUTED_VALUE"""),65943.1)</f>
        <v>65943.100000000006</v>
      </c>
      <c r="C30" s="3" t="str">
        <f ca="1">IFERROR(__xludf.DUMMYFUNCTION("INDEX(FILTER('Sales Data'!C:C, 'Sales Data'!B:B=A30), 1)"),"EMEA")</f>
        <v>EMEA</v>
      </c>
      <c r="D30" s="3" t="str">
        <f ca="1">IFERROR(VLOOKUP(A30, People!A:B, 2, FALSE), "")</f>
        <v>Edward Nygma</v>
      </c>
    </row>
    <row r="31" spans="1:4" ht="15.75" customHeight="1" x14ac:dyDescent="0.15">
      <c r="A31" s="9" t="str">
        <f ca="1">IFERROR(__xludf.DUMMYFUNCTION("""COMPUTED_VALUE"""),"0054z00000AAFA1E0n")</f>
        <v>0054z00000AAFA1E0n</v>
      </c>
      <c r="B31" s="9">
        <f ca="1">IFERROR(__xludf.DUMMYFUNCTION("""COMPUTED_VALUE"""),64752)</f>
        <v>64752</v>
      </c>
      <c r="C31" s="3" t="str">
        <f ca="1">IFERROR(__xludf.DUMMYFUNCTION("INDEX(FILTER('Sales Data'!C:C, 'Sales Data'!B:B=A31), 1)"),"APAC")</f>
        <v>APAC</v>
      </c>
      <c r="D31" s="3" t="str">
        <f ca="1">IFERROR(VLOOKUP(A31, People!A:B, 2, FALSE), "")</f>
        <v/>
      </c>
    </row>
    <row r="32" spans="1:4" ht="15.75" customHeight="1" x14ac:dyDescent="0.15">
      <c r="A32" s="9" t="str">
        <f ca="1">IFERROR(__xludf.DUMMYFUNCTION("""COMPUTED_VALUE"""),"0054z00000AAVA1E1Q")</f>
        <v>0054z00000AAVA1E1Q</v>
      </c>
      <c r="B32" s="9">
        <f ca="1">IFERROR(__xludf.DUMMYFUNCTION("""COMPUTED_VALUE"""),59709.87)</f>
        <v>59709.87</v>
      </c>
      <c r="C32" s="3" t="str">
        <f ca="1">IFERROR(__xludf.DUMMYFUNCTION("INDEX(FILTER('Sales Data'!C:C, 'Sales Data'!B:B=A32), 1)"),"EMEA")</f>
        <v>EMEA</v>
      </c>
      <c r="D32" s="3" t="str">
        <f ca="1">IFERROR(VLOOKUP(A32, People!A:B, 2, FALSE), "")</f>
        <v/>
      </c>
    </row>
    <row r="33" spans="1:4" ht="15.75" customHeight="1" x14ac:dyDescent="0.15">
      <c r="A33" s="9" t="str">
        <f ca="1">IFERROR(__xludf.DUMMYFUNCTION("""COMPUTED_VALUE"""),"0054z00000AAFA1E1h")</f>
        <v>0054z00000AAFA1E1h</v>
      </c>
      <c r="B33" s="9">
        <f ca="1">IFERROR(__xludf.DUMMYFUNCTION("""COMPUTED_VALUE"""),57370.2799999999)</f>
        <v>57370.279999999897</v>
      </c>
      <c r="C33" s="3" t="str">
        <f ca="1">IFERROR(__xludf.DUMMYFUNCTION("INDEX(FILTER('Sales Data'!C:C, 'Sales Data'!B:B=A33), 1)"),"EMEA")</f>
        <v>EMEA</v>
      </c>
      <c r="D33" s="3" t="str">
        <f ca="1">IFERROR(VLOOKUP(A33, People!A:B, 2, FALSE), "")</f>
        <v/>
      </c>
    </row>
    <row r="34" spans="1:4" ht="15.75" customHeight="1" x14ac:dyDescent="0.15">
      <c r="A34" s="9" t="str">
        <f ca="1">IFERROR(__xludf.DUMMYFUNCTION("""COMPUTED_VALUE"""),"0051Y00000QANBgSQz")</f>
        <v>0051Y00000QANBgSQz</v>
      </c>
      <c r="B34" s="9">
        <f ca="1">IFERROR(__xludf.DUMMYFUNCTION("""COMPUTED_VALUE"""),54493.92)</f>
        <v>54493.919999999998</v>
      </c>
      <c r="C34" s="3" t="str">
        <f ca="1">IFERROR(__xludf.DUMMYFUNCTION("INDEX(FILTER('Sales Data'!C:C, 'Sales Data'!B:B=A34), 1)"),"EMEA")</f>
        <v>EMEA</v>
      </c>
      <c r="D34" s="3" t="str">
        <f ca="1">IFERROR(VLOOKUP(A34, People!A:B, 2, FALSE), "")</f>
        <v/>
      </c>
    </row>
    <row r="35" spans="1:4" ht="15.75" customHeight="1" x14ac:dyDescent="0.15">
      <c r="A35" s="9" t="str">
        <f ca="1">IFERROR(__xludf.DUMMYFUNCTION("""COMPUTED_VALUE"""),"0054z00000AA29aDWI")</f>
        <v>0054z00000AA29aDWI</v>
      </c>
      <c r="B35" s="9">
        <f ca="1">IFERROR(__xludf.DUMMYFUNCTION("""COMPUTED_VALUE"""),53900.92)</f>
        <v>53900.92</v>
      </c>
      <c r="C35" s="3" t="str">
        <f ca="1">IFERROR(__xludf.DUMMYFUNCTION("INDEX(FILTER('Sales Data'!C:C, 'Sales Data'!B:B=A35), 1)"),"EMEA")</f>
        <v>EMEA</v>
      </c>
      <c r="D35" s="3" t="str">
        <f ca="1">IFERROR(VLOOKUP(A35, People!A:B, 2, FALSE), "")</f>
        <v/>
      </c>
    </row>
    <row r="36" spans="1:4" ht="15.75" customHeight="1" x14ac:dyDescent="0.15">
      <c r="A36" s="9" t="str">
        <f ca="1">IFERROR(__xludf.DUMMYFUNCTION("""COMPUTED_VALUE"""),"0054z00000AAS9Iy8C")</f>
        <v>0054z00000AAS9Iy8C</v>
      </c>
      <c r="B36" s="9">
        <f ca="1">IFERROR(__xludf.DUMMYFUNCTION("""COMPUTED_VALUE"""),49979.0099999999)</f>
        <v>49979.0099999999</v>
      </c>
      <c r="C36" s="3" t="str">
        <f ca="1">IFERROR(__xludf.DUMMYFUNCTION("INDEX(FILTER('Sales Data'!C:C, 'Sales Data'!B:B=A36), 1)"),"AMER")</f>
        <v>AMER</v>
      </c>
      <c r="D36" s="3" t="str">
        <f ca="1">IFERROR(VLOOKUP(A36, People!A:B, 2, FALSE), "")</f>
        <v/>
      </c>
    </row>
    <row r="37" spans="1:4" ht="15.75" customHeight="1" x14ac:dyDescent="0.15">
      <c r="A37" s="9" t="str">
        <f ca="1">IFERROR(__xludf.DUMMYFUNCTION("""COMPUTED_VALUE"""),"0054z00000AAPAKIS3")</f>
        <v>0054z00000AAPAKIS3</v>
      </c>
      <c r="B37" s="9">
        <f ca="1">IFERROR(__xludf.DUMMYFUNCTION("""COMPUTED_VALUE"""),49364.57)</f>
        <v>49364.57</v>
      </c>
      <c r="C37" s="3" t="str">
        <f ca="1">IFERROR(__xludf.DUMMYFUNCTION("INDEX(FILTER('Sales Data'!C:C, 'Sales Data'!B:B=A37), 1)"),"EMEA")</f>
        <v>EMEA</v>
      </c>
      <c r="D37" s="3" t="str">
        <f ca="1">IFERROR(VLOOKUP(A37, People!A:B, 2, FALSE), "")</f>
        <v/>
      </c>
    </row>
    <row r="38" spans="1:4" ht="15.75" customHeight="1" x14ac:dyDescent="0.15">
      <c r="A38" s="9" t="str">
        <f ca="1">IFERROR(__xludf.DUMMYFUNCTION("""COMPUTED_VALUE"""),"0051Y00000QARBgp8W")</f>
        <v>0051Y00000QARBgp8W</v>
      </c>
      <c r="B38" s="9">
        <f ca="1">IFERROR(__xludf.DUMMYFUNCTION("""COMPUTED_VALUE"""),44697.63)</f>
        <v>44697.63</v>
      </c>
      <c r="C38" s="3" t="str">
        <f ca="1">IFERROR(__xludf.DUMMYFUNCTION("INDEX(FILTER('Sales Data'!C:C, 'Sales Data'!B:B=A38), 1)"),"AMER")</f>
        <v>AMER</v>
      </c>
      <c r="D38" s="3" t="str">
        <f ca="1">IFERROR(VLOOKUP(A38, People!A:B, 2, FALSE), "")</f>
        <v/>
      </c>
    </row>
    <row r="39" spans="1:4" ht="15.75" customHeight="1" x14ac:dyDescent="0.15">
      <c r="A39" s="9" t="str">
        <f ca="1">IFERROR(__xludf.DUMMYFUNCTION("""COMPUTED_VALUE"""),"0054z00000AAQ98tcW")</f>
        <v>0054z00000AAQ98tcW</v>
      </c>
      <c r="B39" s="9">
        <f ca="1">IFERROR(__xludf.DUMMYFUNCTION("""COMPUTED_VALUE"""),44562.44)</f>
        <v>44562.44</v>
      </c>
      <c r="C39" s="3" t="str">
        <f ca="1">IFERROR(__xludf.DUMMYFUNCTION("INDEX(FILTER('Sales Data'!C:C, 'Sales Data'!B:B=A39), 1)"),"AMER")</f>
        <v>AMER</v>
      </c>
      <c r="D39" s="3" t="str">
        <f ca="1">IFERROR(VLOOKUP(A39, People!A:B, 2, FALSE), "")</f>
        <v/>
      </c>
    </row>
    <row r="40" spans="1:4" ht="15.75" customHeight="1" x14ac:dyDescent="0.15">
      <c r="A40" s="9" t="str">
        <f ca="1">IFERROR(__xludf.DUMMYFUNCTION("""COMPUTED_VALUE"""),"0054z00000AAFA1E1c")</f>
        <v>0054z00000AAFA1E1c</v>
      </c>
      <c r="B40" s="9">
        <f ca="1">IFERROR(__xludf.DUMMYFUNCTION("""COMPUTED_VALUE"""),38721.69)</f>
        <v>38721.69</v>
      </c>
      <c r="C40" s="3" t="str">
        <f ca="1">IFERROR(__xludf.DUMMYFUNCTION("INDEX(FILTER('Sales Data'!C:C, 'Sales Data'!B:B=A40), 1)"),"EMEA")</f>
        <v>EMEA</v>
      </c>
      <c r="D40" s="3" t="str">
        <f ca="1">IFERROR(VLOOKUP(A40, People!A:B, 2, FALSE), "")</f>
        <v/>
      </c>
    </row>
    <row r="41" spans="1:4" ht="15.75" customHeight="1" x14ac:dyDescent="0.15">
      <c r="A41" s="9" t="str">
        <f ca="1">IFERROR(__xludf.DUMMYFUNCTION("""COMPUTED_VALUE"""),"0054z00000AAVA1E1X")</f>
        <v>0054z00000AAVA1E1X</v>
      </c>
      <c r="B41" s="9">
        <f ca="1">IFERROR(__xludf.DUMMYFUNCTION("""COMPUTED_VALUE"""),38449.19)</f>
        <v>38449.19</v>
      </c>
      <c r="C41" s="3" t="str">
        <f ca="1">IFERROR(__xludf.DUMMYFUNCTION("INDEX(FILTER('Sales Data'!C:C, 'Sales Data'!B:B=A41), 1)"),"EMEA")</f>
        <v>EMEA</v>
      </c>
      <c r="D41" s="3" t="str">
        <f ca="1">IFERROR(VLOOKUP(A41, People!A:B, 2, FALSE), "")</f>
        <v/>
      </c>
    </row>
    <row r="42" spans="1:4" ht="15.75" customHeight="1" x14ac:dyDescent="0.15">
      <c r="A42" s="9" t="str">
        <f ca="1">IFERROR(__xludf.DUMMYFUNCTION("""COMPUTED_VALUE"""),"0054z00000AAQ985lY")</f>
        <v>0054z00000AAQ985lY</v>
      </c>
      <c r="B42" s="9">
        <f ca="1">IFERROR(__xludf.DUMMYFUNCTION("""COMPUTED_VALUE"""),38358.47)</f>
        <v>38358.47</v>
      </c>
      <c r="C42" s="3" t="str">
        <f ca="1">IFERROR(__xludf.DUMMYFUNCTION("INDEX(FILTER('Sales Data'!C:C, 'Sales Data'!B:B=A42), 1)"),"EMEA")</f>
        <v>EMEA</v>
      </c>
      <c r="D42" s="3" t="str">
        <f ca="1">IFERROR(VLOOKUP(A42, People!A:B, 2, FALSE), "")</f>
        <v/>
      </c>
    </row>
    <row r="43" spans="1:4" ht="15.75" customHeight="1" x14ac:dyDescent="0.15">
      <c r="A43" s="9" t="str">
        <f ca="1">IFERROR(__xludf.DUMMYFUNCTION("""COMPUTED_VALUE"""),"0054z00000AAVA1E1U")</f>
        <v>0054z00000AAVA1E1U</v>
      </c>
      <c r="B43" s="9">
        <f ca="1">IFERROR(__xludf.DUMMYFUNCTION("""COMPUTED_VALUE"""),37140.38)</f>
        <v>37140.379999999997</v>
      </c>
      <c r="C43" s="3" t="str">
        <f ca="1">IFERROR(__xludf.DUMMYFUNCTION("INDEX(FILTER('Sales Data'!C:C, 'Sales Data'!B:B=A43), 1)"),"EMEA")</f>
        <v>EMEA</v>
      </c>
      <c r="D43" s="3" t="str">
        <f ca="1">IFERROR(VLOOKUP(A43, People!A:B, 2, FALSE), "")</f>
        <v/>
      </c>
    </row>
    <row r="44" spans="1:4" ht="15.75" customHeight="1" x14ac:dyDescent="0.15">
      <c r="A44" s="9" t="str">
        <f ca="1">IFERROR(__xludf.DUMMYFUNCTION("""COMPUTED_VALUE"""),"0054z00000AAVA1E0U")</f>
        <v>0054z00000AAVA1E0U</v>
      </c>
      <c r="B44" s="9">
        <f ca="1">IFERROR(__xludf.DUMMYFUNCTION("""COMPUTED_VALUE"""),34009)</f>
        <v>34009</v>
      </c>
      <c r="C44" s="3" t="str">
        <f ca="1">IFERROR(__xludf.DUMMYFUNCTION("INDEX(FILTER('Sales Data'!C:C, 'Sales Data'!B:B=A44), 1)"),"APAC")</f>
        <v>APAC</v>
      </c>
      <c r="D44" s="3" t="str">
        <f ca="1">IFERROR(VLOOKUP(A44, People!A:B, 2, FALSE), "")</f>
        <v/>
      </c>
    </row>
    <row r="45" spans="1:4" ht="15.75" customHeight="1" x14ac:dyDescent="0.15">
      <c r="A45" s="9" t="str">
        <f ca="1">IFERROR(__xludf.DUMMYFUNCTION("""COMPUTED_VALUE"""),"0054z00000AAFA1E0l")</f>
        <v>0054z00000AAFA1E0l</v>
      </c>
      <c r="B45" s="9">
        <f ca="1">IFERROR(__xludf.DUMMYFUNCTION("""COMPUTED_VALUE"""),28654.46)</f>
        <v>28654.46</v>
      </c>
      <c r="C45" s="3" t="str">
        <f ca="1">IFERROR(__xludf.DUMMYFUNCTION("INDEX(FILTER('Sales Data'!C:C, 'Sales Data'!B:B=A45), 1)"),"APAC")</f>
        <v>APAC</v>
      </c>
      <c r="D45" s="3" t="str">
        <f ca="1">IFERROR(VLOOKUP(A45, People!A:B, 2, FALSE), "")</f>
        <v/>
      </c>
    </row>
    <row r="46" spans="1:4" ht="15.75" customHeight="1" x14ac:dyDescent="0.15">
      <c r="A46" s="9" t="str">
        <f ca="1">IFERROR(__xludf.DUMMYFUNCTION("""COMPUTED_VALUE"""),"0054z00000AAVA1E1W")</f>
        <v>0054z00000AAVA1E1W</v>
      </c>
      <c r="B46" s="9">
        <f ca="1">IFERROR(__xludf.DUMMYFUNCTION("""COMPUTED_VALUE"""),26582.3999999999)</f>
        <v>26582.3999999999</v>
      </c>
      <c r="C46" s="3" t="str">
        <f ca="1">IFERROR(__xludf.DUMMYFUNCTION("INDEX(FILTER('Sales Data'!C:C, 'Sales Data'!B:B=A46), 1)"),"EMEA")</f>
        <v>EMEA</v>
      </c>
      <c r="D46" s="3" t="str">
        <f ca="1">IFERROR(VLOOKUP(A46, People!A:B, 2, FALSE), "")</f>
        <v/>
      </c>
    </row>
    <row r="47" spans="1:4" ht="15.75" customHeight="1" x14ac:dyDescent="0.15">
      <c r="A47" s="9" t="str">
        <f ca="1">IFERROR(__xludf.DUMMYFUNCTION("""COMPUTED_VALUE"""),"0054z00000AAFA1E0d")</f>
        <v>0054z00000AAFA1E0d</v>
      </c>
      <c r="B47" s="9">
        <f ca="1">IFERROR(__xludf.DUMMYFUNCTION("""COMPUTED_VALUE"""),26241.6)</f>
        <v>26241.599999999999</v>
      </c>
      <c r="C47" s="3" t="str">
        <f ca="1">IFERROR(__xludf.DUMMYFUNCTION("INDEX(FILTER('Sales Data'!C:C, 'Sales Data'!B:B=A47), 1)"),"EMEA")</f>
        <v>EMEA</v>
      </c>
      <c r="D47" s="3" t="str">
        <f ca="1">IFERROR(VLOOKUP(A47, People!A:B, 2, FALSE), "")</f>
        <v/>
      </c>
    </row>
    <row r="48" spans="1:4" ht="15.75" customHeight="1" x14ac:dyDescent="0.15">
      <c r="A48" s="9" t="str">
        <f ca="1">IFERROR(__xludf.DUMMYFUNCTION("""COMPUTED_VALUE"""),"0054z00000AAVA1E1Z")</f>
        <v>0054z00000AAVA1E1Z</v>
      </c>
      <c r="B48" s="9">
        <f ca="1">IFERROR(__xludf.DUMMYFUNCTION("""COMPUTED_VALUE"""),25504.9499999999)</f>
        <v>25504.949999999899</v>
      </c>
      <c r="C48" s="3" t="str">
        <f ca="1">IFERROR(__xludf.DUMMYFUNCTION("INDEX(FILTER('Sales Data'!C:C, 'Sales Data'!B:B=A48), 1)"),"EMEA")</f>
        <v>EMEA</v>
      </c>
      <c r="D48" s="3" t="str">
        <f ca="1">IFERROR(VLOOKUP(A48, People!A:B, 2, FALSE), "")</f>
        <v/>
      </c>
    </row>
    <row r="49" spans="1:4" ht="15.75" customHeight="1" x14ac:dyDescent="0.15">
      <c r="A49" s="9" t="str">
        <f ca="1">IFERROR(__xludf.DUMMYFUNCTION("""COMPUTED_VALUE"""),"0054z00000AAFA1Iw9")</f>
        <v>0054z00000AAFA1Iw9</v>
      </c>
      <c r="B49" s="9">
        <f ca="1">IFERROR(__xludf.DUMMYFUNCTION("""COMPUTED_VALUE"""),23119.0199999999)</f>
        <v>23119.019999999899</v>
      </c>
      <c r="C49" s="3" t="str">
        <f ca="1">IFERROR(__xludf.DUMMYFUNCTION("INDEX(FILTER('Sales Data'!C:C, 'Sales Data'!B:B=A49), 1)"),"APAC")</f>
        <v>APAC</v>
      </c>
      <c r="D49" s="3" t="str">
        <f ca="1">IFERROR(VLOOKUP(A49, People!A:B, 2, FALSE), "")</f>
        <v/>
      </c>
    </row>
    <row r="50" spans="1:4" ht="15.75" customHeight="1" x14ac:dyDescent="0.15">
      <c r="A50" s="9" t="str">
        <f ca="1">IFERROR(__xludf.DUMMYFUNCTION("""COMPUTED_VALUE"""),"0054z00000AAHAJThl")</f>
        <v>0054z00000AAHAJThl</v>
      </c>
      <c r="B50" s="9">
        <f ca="1">IFERROR(__xludf.DUMMYFUNCTION("""COMPUTED_VALUE"""),22644.4499999999)</f>
        <v>22644.449999999899</v>
      </c>
      <c r="C50" s="3" t="str">
        <f ca="1">IFERROR(__xludf.DUMMYFUNCTION("INDEX(FILTER('Sales Data'!C:C, 'Sales Data'!B:B=A50), 1)"),"EMEA")</f>
        <v>EMEA</v>
      </c>
      <c r="D50" s="3" t="str">
        <f ca="1">IFERROR(VLOOKUP(A50, People!A:B, 2, FALSE), "")</f>
        <v/>
      </c>
    </row>
    <row r="51" spans="1:4" ht="15.75" customHeight="1" x14ac:dyDescent="0.15">
      <c r="A51" s="9" t="str">
        <f ca="1">IFERROR(__xludf.DUMMYFUNCTION("""COMPUTED_VALUE"""),"0054z00000AAVA1UwF")</f>
        <v>0054z00000AAVA1UwF</v>
      </c>
      <c r="B51" s="9">
        <f ca="1">IFERROR(__xludf.DUMMYFUNCTION("""COMPUTED_VALUE"""),22428.9)</f>
        <v>22428.9</v>
      </c>
      <c r="C51" s="3" t="str">
        <f ca="1">IFERROR(__xludf.DUMMYFUNCTION("INDEX(FILTER('Sales Data'!C:C, 'Sales Data'!B:B=A51), 1)"),"APAC")</f>
        <v>APAC</v>
      </c>
      <c r="D51" s="3" t="str">
        <f ca="1">IFERROR(VLOOKUP(A51, People!A:B, 2, FALSE), "")</f>
        <v/>
      </c>
    </row>
    <row r="52" spans="1:4" ht="15.75" customHeight="1" x14ac:dyDescent="0.15">
      <c r="A52" s="9" t="str">
        <f ca="1">IFERROR(__xludf.DUMMYFUNCTION("""COMPUTED_VALUE"""),"0054z00000AAFA1E0m")</f>
        <v>0054z00000AAFA1E0m</v>
      </c>
      <c r="B52" s="9">
        <f ca="1">IFERROR(__xludf.DUMMYFUNCTION("""COMPUTED_VALUE"""),21700.45)</f>
        <v>21700.45</v>
      </c>
      <c r="C52" s="3" t="str">
        <f ca="1">IFERROR(__xludf.DUMMYFUNCTION("INDEX(FILTER('Sales Data'!C:C, 'Sales Data'!B:B=A52), 1)"),"EMEA")</f>
        <v>EMEA</v>
      </c>
      <c r="D52" s="3" t="str">
        <f ca="1">IFERROR(VLOOKUP(A52, People!A:B, 2, FALSE), "")</f>
        <v/>
      </c>
    </row>
    <row r="53" spans="1:4" ht="15.75" customHeight="1" x14ac:dyDescent="0.15">
      <c r="A53" s="9" t="str">
        <f ca="1">IFERROR(__xludf.DUMMYFUNCTION("""COMPUTED_VALUE"""),"0054z00000AAQ9zzrE")</f>
        <v>0054z00000AAQ9zzrE</v>
      </c>
      <c r="B53" s="9">
        <f ca="1">IFERROR(__xludf.DUMMYFUNCTION("""COMPUTED_VALUE"""),20735.97)</f>
        <v>20735.97</v>
      </c>
      <c r="C53" s="3" t="str">
        <f ca="1">IFERROR(__xludf.DUMMYFUNCTION("INDEX(FILTER('Sales Data'!C:C, 'Sales Data'!B:B=A53), 1)"),"APAC")</f>
        <v>APAC</v>
      </c>
      <c r="D53" s="3" t="str">
        <f ca="1">IFERROR(VLOOKUP(A53, People!A:B, 2, FALSE), "")</f>
        <v/>
      </c>
    </row>
    <row r="54" spans="1:4" ht="15.75" customHeight="1" x14ac:dyDescent="0.15">
      <c r="A54" s="9" t="str">
        <f ca="1">IFERROR(__xludf.DUMMYFUNCTION("""COMPUTED_VALUE"""),"0054z00000AAFA1E16")</f>
        <v>0054z00000AAFA1E16</v>
      </c>
      <c r="B54" s="9">
        <f ca="1">IFERROR(__xludf.DUMMYFUNCTION("""COMPUTED_VALUE"""),19244.98)</f>
        <v>19244.98</v>
      </c>
      <c r="C54" s="3" t="str">
        <f ca="1">IFERROR(__xludf.DUMMYFUNCTION("INDEX(FILTER('Sales Data'!C:C, 'Sales Data'!B:B=A54), 1)"),"EMEA")</f>
        <v>EMEA</v>
      </c>
      <c r="D54" s="3" t="str">
        <f ca="1">IFERROR(VLOOKUP(A54, People!A:B, 2, FALSE), "")</f>
        <v/>
      </c>
    </row>
    <row r="55" spans="1:4" ht="15.75" customHeight="1" x14ac:dyDescent="0.15">
      <c r="A55" s="9" t="str">
        <f ca="1">IFERROR(__xludf.DUMMYFUNCTION("""COMPUTED_VALUE"""),"0051Y00000QARBgp8X")</f>
        <v>0051Y00000QARBgp8X</v>
      </c>
      <c r="B55" s="9">
        <f ca="1">IFERROR(__xludf.DUMMYFUNCTION("""COMPUTED_VALUE"""),18249.85)</f>
        <v>18249.849999999999</v>
      </c>
      <c r="C55" s="3" t="str">
        <f ca="1">IFERROR(__xludf.DUMMYFUNCTION("INDEX(FILTER('Sales Data'!C:C, 'Sales Data'!B:B=A55), 1)"),"APAC")</f>
        <v>APAC</v>
      </c>
      <c r="D55" s="3" t="str">
        <f ca="1">IFERROR(VLOOKUP(A55, People!A:B, 2, FALSE), "")</f>
        <v/>
      </c>
    </row>
    <row r="56" spans="1:4" ht="13" x14ac:dyDescent="0.15">
      <c r="A56" s="9" t="str">
        <f ca="1">IFERROR(__xludf.DUMMYFUNCTION("""COMPUTED_VALUE"""),"0054z00000AALAIgV3")</f>
        <v>0054z00000AALAIgV3</v>
      </c>
      <c r="B56" s="9">
        <f ca="1">IFERROR(__xludf.DUMMYFUNCTION("""COMPUTED_VALUE"""),16377.14)</f>
        <v>16377.14</v>
      </c>
      <c r="C56" s="3" t="str">
        <f ca="1">IFERROR(__xludf.DUMMYFUNCTION("INDEX(FILTER('Sales Data'!C:C, 'Sales Data'!B:B=A56), 1)"),"EMEA")</f>
        <v>EMEA</v>
      </c>
      <c r="D56" s="3" t="str">
        <f ca="1">IFERROR(VLOOKUP(A56, People!A:B, 2, FALSE), "")</f>
        <v/>
      </c>
    </row>
    <row r="57" spans="1:4" ht="13" x14ac:dyDescent="0.15">
      <c r="A57" s="9" t="str">
        <f ca="1">IFERROR(__xludf.DUMMYFUNCTION("""COMPUTED_VALUE"""),"0054z00000AAVA1UwC")</f>
        <v>0054z00000AAVA1UwC</v>
      </c>
      <c r="B57" s="9">
        <f ca="1">IFERROR(__xludf.DUMMYFUNCTION("""COMPUTED_VALUE"""),16245.94)</f>
        <v>16245.94</v>
      </c>
      <c r="C57" s="3" t="str">
        <f ca="1">IFERROR(__xludf.DUMMYFUNCTION("INDEX(FILTER('Sales Data'!C:C, 'Sales Data'!B:B=A57), 1)"),"AMER")</f>
        <v>AMER</v>
      </c>
      <c r="D57" s="3" t="str">
        <f ca="1">IFERROR(VLOOKUP(A57, People!A:B, 2, FALSE), "")</f>
        <v>Fiona Gallagher</v>
      </c>
    </row>
    <row r="58" spans="1:4" ht="13" x14ac:dyDescent="0.15">
      <c r="A58" s="9" t="str">
        <f ca="1">IFERROR(__xludf.DUMMYFUNCTION("""COMPUTED_VALUE"""),"0054z00000AAJA0qTj")</f>
        <v>0054z00000AAJA0qTj</v>
      </c>
      <c r="B58" s="9">
        <f ca="1">IFERROR(__xludf.DUMMYFUNCTION("""COMPUTED_VALUE"""),16102.8)</f>
        <v>16102.8</v>
      </c>
      <c r="C58" s="3" t="str">
        <f ca="1">IFERROR(__xludf.DUMMYFUNCTION("INDEX(FILTER('Sales Data'!C:C, 'Sales Data'!B:B=A58), 1)"),"AMER")</f>
        <v>AMER</v>
      </c>
      <c r="D58" s="3" t="str">
        <f ca="1">IFERROR(VLOOKUP(A58, People!A:B, 2, FALSE), "")</f>
        <v>Diana Prince</v>
      </c>
    </row>
    <row r="59" spans="1:4" ht="13" x14ac:dyDescent="0.15">
      <c r="A59" s="9" t="str">
        <f ca="1">IFERROR(__xludf.DUMMYFUNCTION("""COMPUTED_VALUE"""),"0054z00000AAFA1E15")</f>
        <v>0054z00000AAFA1E15</v>
      </c>
      <c r="B59" s="9">
        <f ca="1">IFERROR(__xludf.DUMMYFUNCTION("""COMPUTED_VALUE"""),14555.57)</f>
        <v>14555.57</v>
      </c>
      <c r="C59" s="3" t="str">
        <f ca="1">IFERROR(__xludf.DUMMYFUNCTION("INDEX(FILTER('Sales Data'!C:C, 'Sales Data'!B:B=A59), 1)"),"EMEA")</f>
        <v>EMEA</v>
      </c>
      <c r="D59" s="3" t="str">
        <f ca="1">IFERROR(VLOOKUP(A59, People!A:B, 2, FALSE), "")</f>
        <v/>
      </c>
    </row>
    <row r="60" spans="1:4" ht="13" x14ac:dyDescent="0.15">
      <c r="A60" s="9" t="str">
        <f ca="1">IFERROR(__xludf.DUMMYFUNCTION("""COMPUTED_VALUE"""),"0054z00000AAPAKHPh")</f>
        <v>0054z00000AAPAKHPh</v>
      </c>
      <c r="B60" s="9">
        <f ca="1">IFERROR(__xludf.DUMMYFUNCTION("""COMPUTED_VALUE"""),12759.54)</f>
        <v>12759.54</v>
      </c>
      <c r="C60" s="3" t="str">
        <f ca="1">IFERROR(__xludf.DUMMYFUNCTION("INDEX(FILTER('Sales Data'!C:C, 'Sales Data'!B:B=A60), 1)"),"EMEA")</f>
        <v>EMEA</v>
      </c>
      <c r="D60" s="3" t="str">
        <f ca="1">IFERROR(VLOOKUP(A60, People!A:B, 2, FALSE), "")</f>
        <v/>
      </c>
    </row>
    <row r="61" spans="1:4" ht="13" x14ac:dyDescent="0.15">
      <c r="A61" s="9" t="str">
        <f ca="1">IFERROR(__xludf.DUMMYFUNCTION("""COMPUTED_VALUE"""),"0054z00000AAVA1E1Y")</f>
        <v>0054z00000AAVA1E1Y</v>
      </c>
      <c r="B61" s="9">
        <f ca="1">IFERROR(__xludf.DUMMYFUNCTION("""COMPUTED_VALUE"""),11409.99)</f>
        <v>11409.99</v>
      </c>
      <c r="C61" s="3" t="str">
        <f ca="1">IFERROR(__xludf.DUMMYFUNCTION("INDEX(FILTER('Sales Data'!C:C, 'Sales Data'!B:B=A61), 1)"),"EMEA")</f>
        <v>EMEA</v>
      </c>
      <c r="D61" s="3" t="str">
        <f ca="1">IFERROR(VLOOKUP(A61, People!A:B, 2, FALSE), "")</f>
        <v/>
      </c>
    </row>
    <row r="62" spans="1:4" ht="13" x14ac:dyDescent="0.15">
      <c r="A62" s="9" t="str">
        <f ca="1">IFERROR(__xludf.DUMMYFUNCTION("""COMPUTED_VALUE"""),"0054z00000AAFA1E0f")</f>
        <v>0054z00000AAFA1E0f</v>
      </c>
      <c r="B62" s="9">
        <f ca="1">IFERROR(__xludf.DUMMYFUNCTION("""COMPUTED_VALUE"""),9201.59999999999)</f>
        <v>9201.5999999999894</v>
      </c>
      <c r="C62" s="3" t="str">
        <f ca="1">IFERROR(__xludf.DUMMYFUNCTION("INDEX(FILTER('Sales Data'!C:C, 'Sales Data'!B:B=A62), 1)"),"EMEA")</f>
        <v>EMEA</v>
      </c>
      <c r="D62" s="3" t="str">
        <f ca="1">IFERROR(VLOOKUP(A62, People!A:B, 2, FALSE), "")</f>
        <v/>
      </c>
    </row>
    <row r="63" spans="1:4" ht="13" x14ac:dyDescent="0.15">
      <c r="A63" s="9" t="str">
        <f ca="1">IFERROR(__xludf.DUMMYFUNCTION("""COMPUTED_VALUE"""),"0054z00000AAFA1Iw7")</f>
        <v>0054z00000AAFA1Iw7</v>
      </c>
      <c r="B63" s="9">
        <f ca="1">IFERROR(__xludf.DUMMYFUNCTION("""COMPUTED_VALUE"""),6183.82)</f>
        <v>6183.82</v>
      </c>
      <c r="C63" s="3" t="str">
        <f ca="1">IFERROR(__xludf.DUMMYFUNCTION("INDEX(FILTER('Sales Data'!C:C, 'Sales Data'!B:B=A63), 1)"),"EMEA")</f>
        <v>EMEA</v>
      </c>
      <c r="D63" s="3" t="str">
        <f ca="1">IFERROR(VLOOKUP(A63, People!A:B, 2, FALSE), "")</f>
        <v/>
      </c>
    </row>
    <row r="64" spans="1:4" ht="13" x14ac:dyDescent="0.15">
      <c r="A64" s="9" t="str">
        <f ca="1">IFERROR(__xludf.DUMMYFUNCTION("""COMPUTED_VALUE"""),"0054z00000AAK9KyWm")</f>
        <v>0054z00000AAK9KyWm</v>
      </c>
      <c r="B64" s="9">
        <f ca="1">IFERROR(__xludf.DUMMYFUNCTION("""COMPUTED_VALUE"""),4861.82)</f>
        <v>4861.82</v>
      </c>
      <c r="C64" s="3" t="str">
        <f ca="1">IFERROR(__xludf.DUMMYFUNCTION("INDEX(FILTER('Sales Data'!C:C, 'Sales Data'!B:B=A64), 1)"),"EMEA")</f>
        <v>EMEA</v>
      </c>
      <c r="D64" s="3" t="str">
        <f ca="1">IFERROR(VLOOKUP(A64, People!A:B, 2, FALSE), "")</f>
        <v/>
      </c>
    </row>
    <row r="65" spans="1:4" ht="13" x14ac:dyDescent="0.15">
      <c r="A65" s="9" t="str">
        <f ca="1">IFERROR(__xludf.DUMMYFUNCTION("""COMPUTED_VALUE"""),"0054z00000AAVA1E0T")</f>
        <v>0054z00000AAVA1E0T</v>
      </c>
      <c r="B65" s="9">
        <f ca="1">IFERROR(__xludf.DUMMYFUNCTION("""COMPUTED_VALUE"""),4342.36)</f>
        <v>4342.3599999999997</v>
      </c>
      <c r="C65" s="3" t="str">
        <f ca="1">IFERROR(__xludf.DUMMYFUNCTION("INDEX(FILTER('Sales Data'!C:C, 'Sales Data'!B:B=A65), 1)"),"APAC")</f>
        <v>APAC</v>
      </c>
      <c r="D65" s="3" t="str">
        <f ca="1">IFERROR(VLOOKUP(A65, People!A:B, 2, FALSE), "")</f>
        <v/>
      </c>
    </row>
    <row r="66" spans="1:4" ht="13" x14ac:dyDescent="0.15">
      <c r="A66" s="9" t="str">
        <f ca="1">IFERROR(__xludf.DUMMYFUNCTION("""COMPUTED_VALUE"""),"0054z00000AAVA1UwM")</f>
        <v>0054z00000AAVA1UwM</v>
      </c>
      <c r="B66" s="9">
        <f ca="1">IFERROR(__xludf.DUMMYFUNCTION("""COMPUTED_VALUE"""),4242.96)</f>
        <v>4242.96</v>
      </c>
      <c r="C66" s="3" t="str">
        <f ca="1">IFERROR(__xludf.DUMMYFUNCTION("INDEX(FILTER('Sales Data'!C:C, 'Sales Data'!B:B=A66), 1)"),"APAC")</f>
        <v>APAC</v>
      </c>
      <c r="D66" s="3" t="str">
        <f ca="1">IFERROR(VLOOKUP(A66, People!A:B, 2, FALSE), "")</f>
        <v/>
      </c>
    </row>
    <row r="67" spans="1:4" ht="13" x14ac:dyDescent="0.15">
      <c r="A67" s="9" t="str">
        <f ca="1">IFERROR(__xludf.DUMMYFUNCTION("""COMPUTED_VALUE"""),"0054z00000AAFA1E0h")</f>
        <v>0054z00000AAFA1E0h</v>
      </c>
      <c r="B67" s="9">
        <f ca="1">IFERROR(__xludf.DUMMYFUNCTION("""COMPUTED_VALUE"""),3068.62)</f>
        <v>3068.62</v>
      </c>
      <c r="C67" s="3" t="str">
        <f ca="1">IFERROR(__xludf.DUMMYFUNCTION("INDEX(FILTER('Sales Data'!C:C, 'Sales Data'!B:B=A67), 1)"),"EMEA")</f>
        <v>EMEA</v>
      </c>
      <c r="D67" s="3" t="str">
        <f ca="1">IFERROR(VLOOKUP(A67, People!A:B, 2, FALSE), "")</f>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
  <sheetViews>
    <sheetView workbookViewId="0"/>
  </sheetViews>
  <sheetFormatPr baseColWidth="10" defaultColWidth="12.6640625" defaultRowHeight="15.75" customHeight="1" x14ac:dyDescent="0.15"/>
  <cols>
    <col min="1" max="1" width="23.6640625" customWidth="1"/>
  </cols>
  <sheetData>
    <row r="1" spans="1:1" ht="15.75" customHeight="1" x14ac:dyDescent="0.15">
      <c r="A1" s="17" t="s">
        <v>102</v>
      </c>
    </row>
    <row r="2" spans="1:1" ht="15.75" customHeight="1" x14ac:dyDescent="0.15">
      <c r="A2" s="17"/>
    </row>
    <row r="3" spans="1:1" ht="15.75" customHeight="1" x14ac:dyDescent="0.15">
      <c r="A3" s="17" t="s">
        <v>103</v>
      </c>
    </row>
    <row r="4" spans="1:1" ht="15.75" customHeight="1" x14ac:dyDescent="0.15">
      <c r="A4" s="15" t="s">
        <v>105</v>
      </c>
    </row>
    <row r="5" spans="1:1" ht="15.75" customHeight="1" x14ac:dyDescent="0.15">
      <c r="A5" s="17"/>
    </row>
    <row r="6" spans="1:1" ht="15.75" customHeight="1" x14ac:dyDescent="0.15">
      <c r="A6" s="17" t="s">
        <v>106</v>
      </c>
    </row>
    <row r="7" spans="1:1" ht="15.75" customHeight="1" x14ac:dyDescent="0.15">
      <c r="A7" s="15" t="s">
        <v>107</v>
      </c>
    </row>
    <row r="8" spans="1:1" ht="15.75" customHeight="1" x14ac:dyDescent="0.15">
      <c r="A8" s="17"/>
    </row>
    <row r="9" spans="1:1" ht="15.75" customHeight="1" x14ac:dyDescent="0.15">
      <c r="A9" s="17" t="s">
        <v>108</v>
      </c>
    </row>
    <row r="10" spans="1:1" ht="15.75" customHeight="1" x14ac:dyDescent="0.15">
      <c r="A10" s="15"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Tasks</vt:lpstr>
      <vt:lpstr>Sales Data</vt:lpstr>
      <vt:lpstr>People</vt:lpstr>
      <vt:lpstr>Q1 - Sales by Geo</vt:lpstr>
      <vt:lpstr>Q2 - CIAM by Segment</vt:lpstr>
      <vt:lpstr>Q3 - Sept AMER Ent Upsell</vt:lpstr>
      <vt:lpstr>Q4 - Top Performing Sales Reps</vt:lpstr>
      <vt:lpstr>Q5 - Executive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Aayusha Hadke</cp:lastModifiedBy>
  <dcterms:modified xsi:type="dcterms:W3CDTF">2026-08-17T00:07:41Z</dcterms:modified>
</cp:coreProperties>
</file>